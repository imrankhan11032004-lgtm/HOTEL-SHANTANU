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urchase August 2026" sheetId="2" state="visible" r:id="rId4"/>
    <sheet name="Sales August 20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<sst xmlns="http://schemas.openxmlformats.org/spreadsheetml/2006/main" count="385" uniqueCount="103">
  <si>
    <t xml:space="preserve">Anuradha Kagod </t>
  </si>
  <si>
    <t xml:space="preserve">C/o  Hotel Shanth</t>
  </si>
  <si>
    <t xml:space="preserve">Liquor Details for the month of August 2026</t>
  </si>
  <si>
    <t xml:space="preserve">Purchase Details</t>
  </si>
  <si>
    <t xml:space="preserve">Sales Details</t>
  </si>
  <si>
    <t xml:space="preserve">Sl.No</t>
  </si>
  <si>
    <t xml:space="preserve">Invoice no.</t>
  </si>
  <si>
    <t xml:space="preserve">Purchase Total</t>
  </si>
  <si>
    <t xml:space="preserve">Sales Total</t>
  </si>
  <si>
    <t xml:space="preserve">INVOICE</t>
  </si>
  <si>
    <t xml:space="preserve">KARNATAKA STATE BEVERAGES CORPORATION LIMITED</t>
  </si>
  <si>
    <t xml:space="preserve">GSTIN - 29AACCK1421A1Z7</t>
  </si>
  <si>
    <t xml:space="preserve">Invoice No : SSGR26003983</t>
  </si>
  <si>
    <t xml:space="preserve">Date :</t>
  </si>
  <si>
    <t xml:space="preserve">Invoice No : SSGR26004188</t>
  </si>
  <si>
    <t xml:space="preserve">Invoice No : SSGR26004326</t>
  </si>
  <si>
    <t xml:space="preserve">Invoice No : SSGR26004536</t>
  </si>
  <si>
    <t xml:space="preserve">Bill To.</t>
  </si>
  <si>
    <t xml:space="preserve">Delivery To.</t>
  </si>
  <si>
    <t xml:space="preserve">Anuradha Kagod</t>
  </si>
  <si>
    <t xml:space="preserve">Sri Sai Restaurant.</t>
  </si>
  <si>
    <t xml:space="preserve">Soraba Road, Sagar - 577401,</t>
  </si>
  <si>
    <t xml:space="preserve">Shimogga District.</t>
  </si>
  <si>
    <t xml:space="preserve">GSTIN - 29AJJPK1418N1ZU</t>
  </si>
  <si>
    <t xml:space="preserve">SL.No</t>
  </si>
  <si>
    <t xml:space="preserve">ITEMS NAME</t>
  </si>
  <si>
    <t xml:space="preserve">CBs</t>
  </si>
  <si>
    <t xml:space="preserve">Blts.</t>
  </si>
  <si>
    <t xml:space="preserve">RATE for CB</t>
  </si>
  <si>
    <t xml:space="preserve">Purchase Amt</t>
  </si>
  <si>
    <t xml:space="preserve">Buzzballz Easy-to-Drink Flavoured Alcoholic Beverage Berry Lemon Squeeze Aromatized Wine-PET 180MLx48P.Btls(0609)</t>
  </si>
  <si>
    <t xml:space="preserve">Bacardi+Cranberry 275MLx24Btls(0057)</t>
  </si>
  <si>
    <t xml:space="preserve">Bagpiper Deluxe Whisky-Aseptic Brick Pack(40%) 180MLx48ABP(0546)</t>
  </si>
  <si>
    <t xml:space="preserve">Bagpiper Deluxe Whisky-PET(40%)750MLx12P.Btls(0538)</t>
  </si>
  <si>
    <t xml:space="preserve">Buzzballz Easy-to-Drink Flavoured Alcoholic Beverage Strawberry Squeeze Aromatized Wine-PET 180MLx48P.Btls(0609)</t>
  </si>
  <si>
    <t xml:space="preserve">Breezer Tangy Cranberry Flavour 275MLx24Btls(0057)</t>
  </si>
  <si>
    <t xml:space="preserve">DSP Black Deluxe Whisky-PET 180MLx48P.Btls(0020)</t>
  </si>
  <si>
    <t xml:space="preserve">Bagpiper Deluxe Whisky-Tetra Pack (40%) 180MLx48Btls(0544)</t>
  </si>
  <si>
    <t xml:space="preserve">After Dark Blue Classic Grain Whisky-PET 180MLx48P.Btls(0537)</t>
  </si>
  <si>
    <t xml:space="preserve">Director's Special Whisky-Tetra Pack 180MLx48T.Packs(0524)</t>
  </si>
  <si>
    <t xml:space="preserve">Black &amp; White Blended Scotch Whisky 750MLx12Btls(0020)</t>
  </si>
  <si>
    <t xml:space="preserve">MCDOWELLS NO.1 PREMIUM RESERVE WHISKY 750MLx12Btls(0020)</t>
  </si>
  <si>
    <t xml:space="preserve">Black &amp; White Blended Scotch Whisky-PET 180MLx48P.Btls(0020)</t>
  </si>
  <si>
    <t xml:space="preserve">McDowell's No.1 Luxury Select Collection Whisky 750MLx12Btls(0524)</t>
  </si>
  <si>
    <t xml:space="preserve">Iconiq White Grand International Grain Whisky 180MLx48Btls(0608)</t>
  </si>
  <si>
    <t xml:space="preserve">McDowell's No.1 Supreme Special Whisky Original 180MLx48Btls(0524)</t>
  </si>
  <si>
    <t xml:space="preserve">Mcdowell's No 1 Luxury Select Collection Whisky 180MLx48Btls(0020)</t>
  </si>
  <si>
    <t xml:space="preserve">Officer's Choice Special Whisky-Aseptic Brick Pack 180MLx48ABP(0608)</t>
  </si>
  <si>
    <t xml:space="preserve">Officer's Choice Special Whisky-PET 750MLx12P.Btls(0608)</t>
  </si>
  <si>
    <t xml:space="preserve">Seagram's Imperial Blue Select Batch Grain Whisky 180MLx48Btls(0601)</t>
  </si>
  <si>
    <t xml:space="preserve">Royal Challenge Premium Select Whisky-PET 180MLx48P.Btls(0020)</t>
  </si>
  <si>
    <t xml:space="preserve">Seagram's Imperial Blue Select Batch Grain Whisky 750MLx12Btls(0601)</t>
  </si>
  <si>
    <t xml:space="preserve">Seagram's Blenders Pride Rare Premium Whisky 180ML(0091)</t>
  </si>
  <si>
    <t xml:space="preserve">Seagram's 100 Pipers Deluxe Blended Scotch Whisky 180ML(0091)</t>
  </si>
  <si>
    <t xml:space="preserve">Seagram's Blenders Pride Rare Premium Whisky 750ML(0091)</t>
  </si>
  <si>
    <t xml:space="preserve">Seagram's 100 Pipers Deluxe Blended Scotch Whisky 750ML(0091)</t>
  </si>
  <si>
    <t xml:space="preserve">Seagram's Royal Stag Deluxe Whisky 180ML(0091)</t>
  </si>
  <si>
    <t xml:space="preserve">Old Monk Very Old Vatted Special XXX Rum-Aseptic Brick Pack 180MLx48ABP(0532)</t>
  </si>
  <si>
    <t xml:space="preserve">Magic Moments Remix Flavoured Vodka ORANGE 180ML(0502)</t>
  </si>
  <si>
    <t xml:space="preserve">Seagram's Royal Stag Deluxe Whisky 750ML(0091)</t>
  </si>
  <si>
    <t xml:space="preserve">Budweiser Premium King of Beers 650MLx12Btls(0217)</t>
  </si>
  <si>
    <t xml:space="preserve">TI Mansion House Premium French Brandy 180MLx48Btls(0542)</t>
  </si>
  <si>
    <t xml:space="preserve">Signature Rare Aged Whisky 750ml(0020)</t>
  </si>
  <si>
    <t xml:space="preserve">Copenhagen Tuborg Strong Premium Beer 330MLx24Btls(0205)</t>
  </si>
  <si>
    <t xml:space="preserve">TI Mansion House Premium French Brandy 750MLx12Btls(0542)</t>
  </si>
  <si>
    <t xml:space="preserve">Mcdowell's No.1 Celebration Classic XXX Rum - Tetra Pack 180MLx48T.Packs(0524)</t>
  </si>
  <si>
    <t xml:space="preserve">Copenhagen Tuborg Strong Premium Beer 650MLx12Btls(0205)</t>
  </si>
  <si>
    <t xml:space="preserve">Hercules Old Matured Deluxe 3x Rum 750Ml(0003)</t>
  </si>
  <si>
    <t xml:space="preserve">Magic Moments Remix Flavoured Vodka ORANGE 750ML(0502)</t>
  </si>
  <si>
    <t xml:space="preserve">Kingfisher Premium Lager Beer 330MLx24Btls(0206)</t>
  </si>
  <si>
    <t xml:space="preserve">Smirnoff Orange Triple Distilled Vodka 750MLx12Btls(0020)</t>
  </si>
  <si>
    <t xml:space="preserve">Kingfisher Premium Lager Beer 650MLx12Btls(0210)</t>
  </si>
  <si>
    <t xml:space="preserve">Platinum Romanov Flavoured Vodka Zesty Orange 180MLx48Btls(0538)</t>
  </si>
  <si>
    <t xml:space="preserve">Budweiser Magnum Beer 650MLx12Btls(0217)</t>
  </si>
  <si>
    <t xml:space="preserve">Kingfisher Strong Premium Beer 330MLx24Btls(0206)</t>
  </si>
  <si>
    <t xml:space="preserve">Budweiser Magnum Premium Superior Beer 650MLx12Btls(0217)</t>
  </si>
  <si>
    <t xml:space="preserve">Carlsberg Elephant Strong Super Premium Beer 650MLx12Btls(0205)</t>
  </si>
  <si>
    <t xml:space="preserve">Smirnoff Orange Triple Distilled Vodka-PET 180MLx48P.Btls(0020)</t>
  </si>
  <si>
    <t xml:space="preserve">Kingfisher Strong Premium Beer 650MLx12Btls(0210)</t>
  </si>
  <si>
    <t xml:space="preserve">UB Export Premium Lager Beer 330MLx24Btls(0206)</t>
  </si>
  <si>
    <t xml:space="preserve">UB Export Premium Lager Beer 650MLx12Btls(0210)</t>
  </si>
  <si>
    <t xml:space="preserve">UB Export Strong Premium Beer 330MLx24Btls(0206)</t>
  </si>
  <si>
    <t xml:space="preserve">Corona Extra Premium Beer 330MLx24Btls(0254)</t>
  </si>
  <si>
    <t xml:space="preserve">UB Export Strong Premium Beer 650MLx12Btls(0210)</t>
  </si>
  <si>
    <t xml:space="preserve">Heineken Silver 100% Malt Lager Beer 650MLx12Btls(0210)</t>
  </si>
  <si>
    <t xml:space="preserve">Kingfisher Ultra Lager Beer 650MLx12Btls(0210)</t>
  </si>
  <si>
    <t xml:space="preserve">Budweiser Magnum Premium Superior Beer-CAN 330MLx24Cans(0217)</t>
  </si>
  <si>
    <t xml:space="preserve">Kingfisher Ultra Max Premium Strong Beer 650MLx12Btls(0210)</t>
  </si>
  <si>
    <t xml:space="preserve">Budweiser Premium King of Beers-CAN 500MLx24Cans(0217)</t>
  </si>
  <si>
    <t xml:space="preserve">Tuborg Strong Premium Beer 650MLx12Btls(0205)</t>
  </si>
  <si>
    <t xml:space="preserve">Total</t>
  </si>
  <si>
    <t xml:space="preserve">UB Export Strong Premium Beer 650MLx12Btls(0206)</t>
  </si>
  <si>
    <t xml:space="preserve">Budweiser Magnum Beer-CAN 500MLx24Cans(0217)</t>
  </si>
  <si>
    <t xml:space="preserve">Invoice No : 911</t>
  </si>
  <si>
    <t xml:space="preserve">Invoice No : 912</t>
  </si>
  <si>
    <t xml:space="preserve">Invoice No : 913</t>
  </si>
  <si>
    <t xml:space="preserve">Invoice No : 914</t>
  </si>
  <si>
    <t xml:space="preserve">Invoice No : 915</t>
  </si>
  <si>
    <t xml:space="preserve">Invoice No : 916</t>
  </si>
  <si>
    <t xml:space="preserve">Invoice No : 917</t>
  </si>
  <si>
    <t xml:space="preserve">Invoice No : 918</t>
  </si>
  <si>
    <t xml:space="preserve">CB</t>
  </si>
  <si>
    <t xml:space="preserve">SALES AMOUNT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</si>
</sst>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 * #,##0.00_ ;_ * \-#,##0.00_ ;_ * \-??_ ;_ @_ "/>
    <numFmt numFmtId="166" formatCode="mmm\-yy"/>
    <numFmt numFmtId="167" formatCode="_ * #,##0_ ;_ * \-#,##0_ ;_ * \-??_ ;_ @_ "/>
    <numFmt numFmtId="168" formatCode="#,##0"/>
    <numFmt numFmtId="169" formatCode="dd/mm/yyyy"/>
    <numFmt numFmtId="170" formatCode="#,##0.00"/>
    <numFmt numFmtId="171" formatCode="General"/>
    <numFmt numFmtId="172" formatCode="_(* #,##0.00_);_(* \(#,##0.00\);_(* \-??_);_(@_)"/>
    <numFmt numFmtId="173" formatCode="_ * #,##0_ ;_ * \-#,##0_ ;_ * \-??_ ;_ @_ 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mbria"/>
      <family val="1"/>
      <charset val="1"/>
    </font>
    <font>
      <sz val="10"/>
      <color theme="1"/>
      <name val="Cambria"/>
      <family val="1"/>
      <charset val="1"/>
    </font>
    <font>
      <b val="true"/>
      <sz val="10"/>
      <color theme="0"/>
      <name val="Cambria"/>
      <family val="1"/>
      <charset val="1"/>
    </font>
    <font>
      <sz val="10"/>
      <name val="Cambria"/>
      <family val="1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3" borderId="10" xfId="15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15.45"/>
    <col collapsed="false" customWidth="true" hidden="false" outlineLevel="0" max="3" min="3" style="0" width="10.63"/>
    <col collapsed="false" customWidth="true" hidden="false" outlineLevel="0" max="4" min="4" style="0" width="2.91"/>
    <col collapsed="false" customWidth="true" hidden="false" outlineLevel="0" max="5" min="5" style="0" width="5"/>
    <col collapsed="false" customWidth="true" hidden="false" outlineLevel="0" max="6" min="6" style="0" width="10.91"/>
    <col collapsed="false" customWidth="true" hidden="false" outlineLevel="0" max="7" min="7" style="0" width="10.63"/>
    <col collapsed="false" customWidth="true" hidden="false" outlineLevel="0" max="8" min="8" style="0" width="12.18"/>
    <col collapsed="false" customWidth="true" hidden="false" outlineLevel="0" max="9" min="9" style="0" width="14.73"/>
    <col collapsed="false" customWidth="true" hidden="false" outlineLevel="0" max="10" min="10" style="0" width="11.63"/>
  </cols>
  <sheetData>
    <row r="2" customFormat="false" ht="15" hidden="false" customHeight="false" outlineLevel="0" collapsed="false">
      <c r="B2" s="1" t="s">
        <v>0</v>
      </c>
      <c r="C2" s="2"/>
      <c r="D2" s="2"/>
      <c r="E2" s="2"/>
      <c r="F2" s="2"/>
      <c r="G2" s="2"/>
    </row>
    <row r="3" customFormat="false" ht="15" hidden="false" customHeight="false" outlineLevel="0" collapsed="false">
      <c r="B3" s="1" t="s">
        <v>1</v>
      </c>
      <c r="C3" s="2"/>
      <c r="D3" s="2"/>
      <c r="E3" s="2"/>
      <c r="F3" s="2"/>
      <c r="G3" s="2"/>
    </row>
    <row r="4" customFormat="false" ht="15" hidden="false" customHeight="false" outlineLevel="0" collapsed="false"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3.5" hidden="false" customHeight="true" outlineLevel="0" collapsed="false"/>
    <row r="7" customFormat="false" ht="15" hidden="false" customHeight="true" outlineLevel="0" collapsed="false">
      <c r="B7" s="4" t="s">
        <v>3</v>
      </c>
      <c r="C7" s="4"/>
      <c r="D7" s="5"/>
      <c r="E7" s="6" t="s">
        <v>4</v>
      </c>
      <c r="F7" s="6"/>
      <c r="G7" s="6"/>
    </row>
    <row r="8" customFormat="false" ht="13.5" hidden="false" customHeight="true" outlineLevel="0" collapsed="false">
      <c r="B8" s="7" t="s">
        <v>5</v>
      </c>
      <c r="C8" s="8" t="n">
        <v>46235</v>
      </c>
      <c r="D8" s="9"/>
      <c r="E8" s="4" t="s">
        <v>5</v>
      </c>
      <c r="F8" s="10" t="s">
        <v>6</v>
      </c>
      <c r="G8" s="11" t="n">
        <v>46235</v>
      </c>
    </row>
    <row r="9" customFormat="false" ht="15" hidden="false" customHeight="false" outlineLevel="0" collapsed="false">
      <c r="B9" s="12" t="n">
        <v>1</v>
      </c>
      <c r="C9" s="13" t="n">
        <f aca="false">'Purchase August 2026'!G46</f>
        <v>291587.08</v>
      </c>
      <c r="E9" s="14" t="n">
        <v>1</v>
      </c>
      <c r="F9" s="15" t="n">
        <v>911</v>
      </c>
      <c r="G9" s="16" t="n">
        <f aca="false">'Sales August 2026'!G30</f>
        <v>211674.705</v>
      </c>
    </row>
    <row r="10" customFormat="false" ht="15" hidden="false" customHeight="false" outlineLevel="0" collapsed="false">
      <c r="B10" s="12" t="n">
        <v>2</v>
      </c>
      <c r="C10" s="13" t="n">
        <f aca="false">'Purchase August 2026'!N45</f>
        <v>231759.48</v>
      </c>
      <c r="E10" s="14" t="n">
        <v>2</v>
      </c>
      <c r="F10" s="15" t="n">
        <v>912</v>
      </c>
      <c r="G10" s="16" t="n">
        <f aca="false">'Sales August 2026'!N30</f>
        <v>109071.083</v>
      </c>
    </row>
    <row r="11" customFormat="false" ht="15" hidden="false" customHeight="false" outlineLevel="0" collapsed="false">
      <c r="B11" s="12" t="n">
        <v>3</v>
      </c>
      <c r="C11" s="13" t="n">
        <f aca="false">'Purchase August 2026'!U41</f>
        <v>226034.1</v>
      </c>
      <c r="E11" s="14" t="n">
        <v>3</v>
      </c>
      <c r="F11" s="15" t="n">
        <v>913</v>
      </c>
      <c r="G11" s="16" t="n">
        <f aca="false">'Sales August 2026'!U30</f>
        <v>144846.163</v>
      </c>
    </row>
    <row r="12" customFormat="false" ht="15" hidden="false" customHeight="false" outlineLevel="0" collapsed="false">
      <c r="B12" s="12" t="n">
        <v>4</v>
      </c>
      <c r="C12" s="13" t="n">
        <f aca="false">'Purchase August 2026'!AB47</f>
        <v>340148.12</v>
      </c>
      <c r="E12" s="14" t="n">
        <v>4</v>
      </c>
      <c r="F12" s="15" t="n">
        <v>914</v>
      </c>
      <c r="G12" s="16" t="n">
        <f aca="false">'Sales August 2026'!AB29</f>
        <v>110089.265</v>
      </c>
    </row>
    <row r="13" customFormat="false" ht="15" hidden="false" customHeight="false" outlineLevel="0" collapsed="false">
      <c r="B13" s="17" t="s">
        <v>7</v>
      </c>
      <c r="C13" s="18" t="n">
        <f aca="false">SUM(C9:C12)</f>
        <v>1089528.78</v>
      </c>
      <c r="E13" s="14" t="n">
        <v>5</v>
      </c>
      <c r="F13" s="15" t="n">
        <v>915</v>
      </c>
      <c r="G13" s="16" t="n">
        <f aca="false">'Sales August 2026'!AI28</f>
        <v>179434.222</v>
      </c>
    </row>
    <row r="14" customFormat="false" ht="15" hidden="false" customHeight="false" outlineLevel="0" collapsed="false">
      <c r="E14" s="14" t="n">
        <v>6</v>
      </c>
      <c r="F14" s="15" t="n">
        <v>916</v>
      </c>
      <c r="G14" s="16" t="n">
        <f aca="false">'Sales August 2026'!AP27</f>
        <v>69203.288</v>
      </c>
    </row>
    <row r="15" customFormat="false" ht="15" hidden="false" customHeight="false" outlineLevel="0" collapsed="false">
      <c r="E15" s="14" t="n">
        <v>7</v>
      </c>
      <c r="F15" s="15" t="n">
        <v>917</v>
      </c>
      <c r="G15" s="16" t="n">
        <f aca="false">'Sales August 2026'!AW31</f>
        <v>255073.17</v>
      </c>
    </row>
    <row r="16" customFormat="false" ht="15" hidden="false" customHeight="false" outlineLevel="0" collapsed="false">
      <c r="E16" s="14" t="n">
        <v>8</v>
      </c>
      <c r="F16" s="15" t="n">
        <v>918</v>
      </c>
      <c r="G16" s="16" t="n">
        <f aca="false">'Sales August 2026'!BD30</f>
        <v>119089.762</v>
      </c>
    </row>
    <row r="17" customFormat="false" ht="15" hidden="false" customHeight="false" outlineLevel="0" collapsed="false">
      <c r="E17" s="19"/>
      <c r="F17" s="20" t="s">
        <v>8</v>
      </c>
      <c r="G17" s="21" t="n">
        <f aca="false">SUM(G9:G16)</f>
        <v>1198481.658</v>
      </c>
    </row>
  </sheetData>
  <mergeCells count="3">
    <mergeCell ref="B5:G5"/>
    <mergeCell ref="B7:C7"/>
    <mergeCell ref="E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B47"/>
  <sheetViews>
    <sheetView showFormulas="false" showGridLines="false" showRowColHeaders="true" showZeros="true" rightToLeft="false" tabSelected="false" showOutlineSymbols="true" defaultGridColor="true" view="normal" topLeftCell="A1" colorId="64" zoomScale="63" zoomScaleNormal="63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.54"/>
    <col collapsed="false" customWidth="true" hidden="false" outlineLevel="0" max="3" min="3" style="0" width="70.82"/>
    <col collapsed="false" customWidth="true" hidden="false" outlineLevel="0" max="4" min="4" style="0" width="5.91"/>
    <col collapsed="false" customWidth="true" hidden="false" outlineLevel="0" max="5" min="5" style="0" width="5.45"/>
    <col collapsed="false" customWidth="true" hidden="false" outlineLevel="0" max="6" min="6" style="0" width="16.09"/>
    <col collapsed="false" customWidth="true" hidden="false" outlineLevel="0" max="7" min="7" style="0" width="18.18"/>
    <col collapsed="false" customWidth="true" hidden="false" outlineLevel="0" max="8" min="8" style="0" width="3"/>
    <col collapsed="false" customWidth="true" hidden="false" outlineLevel="0" max="9" min="9" style="0" width="5.54"/>
    <col collapsed="false" customWidth="true" hidden="false" outlineLevel="0" max="10" min="10" style="0" width="70.82"/>
    <col collapsed="false" customWidth="true" hidden="false" outlineLevel="0" max="11" min="11" style="0" width="5.91"/>
    <col collapsed="false" customWidth="true" hidden="false" outlineLevel="0" max="12" min="12" style="0" width="5.45"/>
    <col collapsed="false" customWidth="true" hidden="false" outlineLevel="0" max="13" min="13" style="0" width="16.09"/>
    <col collapsed="false" customWidth="true" hidden="false" outlineLevel="0" max="14" min="14" style="0" width="18.18"/>
    <col collapsed="false" customWidth="true" hidden="false" outlineLevel="0" max="15" min="15" style="0" width="3"/>
    <col collapsed="false" customWidth="true" hidden="false" outlineLevel="0" max="16" min="16" style="0" width="5.54"/>
    <col collapsed="false" customWidth="true" hidden="false" outlineLevel="0" max="17" min="17" style="0" width="70.82"/>
    <col collapsed="false" customWidth="true" hidden="false" outlineLevel="0" max="18" min="18" style="0" width="5.91"/>
    <col collapsed="false" customWidth="true" hidden="false" outlineLevel="0" max="19" min="19" style="0" width="5.45"/>
    <col collapsed="false" customWidth="true" hidden="false" outlineLevel="0" max="20" min="20" style="0" width="16.09"/>
    <col collapsed="false" customWidth="true" hidden="false" outlineLevel="0" max="21" min="21" style="0" width="18.18"/>
    <col collapsed="false" customWidth="true" hidden="false" outlineLevel="0" max="22" min="22" style="0" width="3"/>
    <col collapsed="false" customWidth="true" hidden="false" outlineLevel="0" max="23" min="23" style="0" width="5.54"/>
    <col collapsed="false" customWidth="true" hidden="false" outlineLevel="0" max="24" min="24" style="0" width="70.82"/>
    <col collapsed="false" customWidth="true" hidden="false" outlineLevel="0" max="25" min="25" style="0" width="5.91"/>
    <col collapsed="false" customWidth="true" hidden="false" outlineLevel="0" max="26" min="26" style="0" width="5.45"/>
    <col collapsed="false" customWidth="true" hidden="false" outlineLevel="0" max="27" min="27" style="0" width="16.09"/>
    <col collapsed="false" customWidth="true" hidden="false" outlineLevel="0" max="28" min="28" style="0" width="18.18"/>
    <col collapsed="false" customWidth="true" hidden="false" outlineLevel="0" max="29" min="29" style="0" width="3"/>
  </cols>
  <sheetData>
    <row r="3" customFormat="false" ht="18" hidden="false" customHeight="true" outlineLevel="0" collapsed="false">
      <c r="B3" s="22" t="s">
        <v>9</v>
      </c>
      <c r="C3" s="22"/>
      <c r="D3" s="22"/>
      <c r="E3" s="22"/>
      <c r="F3" s="22"/>
      <c r="G3" s="22"/>
      <c r="I3" s="22" t="s">
        <v>9</v>
      </c>
      <c r="J3" s="22"/>
      <c r="K3" s="22"/>
      <c r="L3" s="22"/>
      <c r="M3" s="22"/>
      <c r="N3" s="22"/>
      <c r="P3" s="22" t="s">
        <v>9</v>
      </c>
      <c r="Q3" s="22"/>
      <c r="R3" s="22"/>
      <c r="S3" s="22"/>
      <c r="T3" s="22"/>
      <c r="U3" s="22"/>
      <c r="W3" s="22" t="s">
        <v>9</v>
      </c>
      <c r="X3" s="22"/>
      <c r="Y3" s="22"/>
      <c r="Z3" s="22"/>
      <c r="AA3" s="22"/>
      <c r="AB3" s="22"/>
    </row>
    <row r="4" customFormat="false" ht="18" hidden="false" customHeight="true" outlineLevel="0" collapsed="false">
      <c r="B4" s="23" t="s">
        <v>10</v>
      </c>
      <c r="C4" s="23"/>
      <c r="D4" s="23"/>
      <c r="E4" s="23"/>
      <c r="F4" s="23"/>
      <c r="G4" s="23"/>
      <c r="I4" s="23" t="s">
        <v>10</v>
      </c>
      <c r="J4" s="23"/>
      <c r="K4" s="23"/>
      <c r="L4" s="23"/>
      <c r="M4" s="23"/>
      <c r="N4" s="23"/>
      <c r="P4" s="23" t="s">
        <v>10</v>
      </c>
      <c r="Q4" s="23"/>
      <c r="R4" s="23"/>
      <c r="S4" s="23"/>
      <c r="T4" s="23"/>
      <c r="U4" s="23"/>
      <c r="W4" s="23" t="s">
        <v>10</v>
      </c>
      <c r="X4" s="23"/>
      <c r="Y4" s="23"/>
      <c r="Z4" s="23"/>
      <c r="AA4" s="23"/>
      <c r="AB4" s="23"/>
    </row>
    <row r="5" customFormat="false" ht="18" hidden="false" customHeight="true" outlineLevel="0" collapsed="false">
      <c r="B5" s="24" t="s">
        <v>11</v>
      </c>
      <c r="C5" s="24"/>
      <c r="D5" s="24"/>
      <c r="E5" s="24"/>
      <c r="F5" s="24"/>
      <c r="G5" s="24"/>
      <c r="I5" s="24" t="s">
        <v>11</v>
      </c>
      <c r="J5" s="24"/>
      <c r="K5" s="24"/>
      <c r="L5" s="24"/>
      <c r="M5" s="24"/>
      <c r="N5" s="24"/>
      <c r="P5" s="24" t="s">
        <v>11</v>
      </c>
      <c r="Q5" s="24"/>
      <c r="R5" s="24"/>
      <c r="S5" s="24"/>
      <c r="T5" s="24"/>
      <c r="U5" s="24"/>
      <c r="W5" s="24" t="s">
        <v>11</v>
      </c>
      <c r="X5" s="24"/>
      <c r="Y5" s="24"/>
      <c r="Z5" s="24"/>
      <c r="AA5" s="24"/>
      <c r="AB5" s="24"/>
    </row>
    <row r="6" customFormat="false" ht="18" hidden="false" customHeight="true" outlineLevel="0" collapsed="false">
      <c r="B6" s="25" t="s">
        <v>12</v>
      </c>
      <c r="C6" s="25"/>
      <c r="D6" s="26" t="s">
        <v>13</v>
      </c>
      <c r="E6" s="27" t="n">
        <v>46241</v>
      </c>
      <c r="F6" s="27"/>
      <c r="G6" s="27"/>
      <c r="I6" s="25" t="s">
        <v>14</v>
      </c>
      <c r="J6" s="25"/>
      <c r="K6" s="26" t="s">
        <v>13</v>
      </c>
      <c r="L6" s="27" t="n">
        <v>46248</v>
      </c>
      <c r="M6" s="27"/>
      <c r="N6" s="27"/>
      <c r="P6" s="25" t="s">
        <v>15</v>
      </c>
      <c r="Q6" s="25"/>
      <c r="R6" s="26" t="s">
        <v>13</v>
      </c>
      <c r="S6" s="27" t="n">
        <v>46253</v>
      </c>
      <c r="T6" s="27"/>
      <c r="U6" s="27"/>
      <c r="W6" s="25" t="s">
        <v>16</v>
      </c>
      <c r="X6" s="25"/>
      <c r="Y6" s="26" t="s">
        <v>13</v>
      </c>
      <c r="Z6" s="27" t="n">
        <v>46262</v>
      </c>
      <c r="AA6" s="27"/>
      <c r="AB6" s="27"/>
    </row>
    <row r="7" customFormat="false" ht="18" hidden="false" customHeight="true" outlineLevel="0" collapsed="false">
      <c r="B7" s="28"/>
      <c r="C7" s="28"/>
      <c r="D7" s="28"/>
      <c r="E7" s="28"/>
      <c r="F7" s="28"/>
      <c r="G7" s="28"/>
      <c r="I7" s="28"/>
      <c r="J7" s="28"/>
      <c r="K7" s="28"/>
      <c r="L7" s="28"/>
      <c r="M7" s="28"/>
      <c r="N7" s="28"/>
      <c r="P7" s="28"/>
      <c r="Q7" s="28"/>
      <c r="R7" s="28"/>
      <c r="S7" s="28"/>
      <c r="T7" s="28"/>
      <c r="U7" s="28"/>
      <c r="W7" s="28"/>
      <c r="X7" s="28"/>
      <c r="Y7" s="28"/>
      <c r="Z7" s="28"/>
      <c r="AA7" s="28"/>
      <c r="AB7" s="28"/>
    </row>
    <row r="8" customFormat="false" ht="18" hidden="false" customHeight="true" outlineLevel="0" collapsed="false">
      <c r="B8" s="25" t="s">
        <v>17</v>
      </c>
      <c r="C8" s="25"/>
      <c r="D8" s="29" t="s">
        <v>18</v>
      </c>
      <c r="E8" s="29"/>
      <c r="F8" s="29"/>
      <c r="G8" s="29"/>
      <c r="I8" s="25" t="s">
        <v>17</v>
      </c>
      <c r="J8" s="25"/>
      <c r="K8" s="29" t="s">
        <v>18</v>
      </c>
      <c r="L8" s="29"/>
      <c r="M8" s="29"/>
      <c r="N8" s="29"/>
      <c r="P8" s="25" t="s">
        <v>17</v>
      </c>
      <c r="Q8" s="25"/>
      <c r="R8" s="29" t="s">
        <v>18</v>
      </c>
      <c r="S8" s="29"/>
      <c r="T8" s="29"/>
      <c r="U8" s="29"/>
      <c r="W8" s="25" t="s">
        <v>17</v>
      </c>
      <c r="X8" s="25"/>
      <c r="Y8" s="29" t="s">
        <v>18</v>
      </c>
      <c r="Z8" s="29"/>
      <c r="AA8" s="29"/>
      <c r="AB8" s="29"/>
    </row>
    <row r="9" customFormat="false" ht="18" hidden="false" customHeight="true" outlineLevel="0" collapsed="false">
      <c r="B9" s="30" t="s">
        <v>19</v>
      </c>
      <c r="C9" s="30"/>
      <c r="D9" s="31" t="s">
        <v>20</v>
      </c>
      <c r="E9" s="31"/>
      <c r="F9" s="31"/>
      <c r="G9" s="31"/>
      <c r="I9" s="30" t="s">
        <v>19</v>
      </c>
      <c r="J9" s="30"/>
      <c r="K9" s="31" t="s">
        <v>20</v>
      </c>
      <c r="L9" s="31"/>
      <c r="M9" s="31"/>
      <c r="N9" s="31"/>
      <c r="P9" s="30" t="s">
        <v>19</v>
      </c>
      <c r="Q9" s="30"/>
      <c r="R9" s="31" t="s">
        <v>20</v>
      </c>
      <c r="S9" s="31"/>
      <c r="T9" s="31"/>
      <c r="U9" s="31"/>
      <c r="W9" s="30" t="s">
        <v>19</v>
      </c>
      <c r="X9" s="30"/>
      <c r="Y9" s="31" t="s">
        <v>20</v>
      </c>
      <c r="Z9" s="31"/>
      <c r="AA9" s="31"/>
      <c r="AB9" s="31"/>
    </row>
    <row r="10" customFormat="false" ht="18" hidden="false" customHeight="true" outlineLevel="0" collapsed="false">
      <c r="B10" s="30" t="s">
        <v>21</v>
      </c>
      <c r="C10" s="30"/>
      <c r="D10" s="31" t="s">
        <v>21</v>
      </c>
      <c r="E10" s="31"/>
      <c r="F10" s="31"/>
      <c r="G10" s="31"/>
      <c r="I10" s="30" t="s">
        <v>21</v>
      </c>
      <c r="J10" s="30"/>
      <c r="K10" s="31" t="s">
        <v>21</v>
      </c>
      <c r="L10" s="31"/>
      <c r="M10" s="31"/>
      <c r="N10" s="31"/>
      <c r="P10" s="30" t="s">
        <v>21</v>
      </c>
      <c r="Q10" s="30"/>
      <c r="R10" s="31" t="s">
        <v>21</v>
      </c>
      <c r="S10" s="31"/>
      <c r="T10" s="31"/>
      <c r="U10" s="31"/>
      <c r="W10" s="30" t="s">
        <v>21</v>
      </c>
      <c r="X10" s="30"/>
      <c r="Y10" s="31" t="s">
        <v>21</v>
      </c>
      <c r="Z10" s="31"/>
      <c r="AA10" s="31"/>
      <c r="AB10" s="31"/>
    </row>
    <row r="11" customFormat="false" ht="18" hidden="false" customHeight="true" outlineLevel="0" collapsed="false">
      <c r="B11" s="30" t="s">
        <v>22</v>
      </c>
      <c r="C11" s="30"/>
      <c r="D11" s="31" t="s">
        <v>22</v>
      </c>
      <c r="E11" s="31"/>
      <c r="F11" s="31"/>
      <c r="G11" s="31"/>
      <c r="I11" s="30" t="s">
        <v>22</v>
      </c>
      <c r="J11" s="30"/>
      <c r="K11" s="31" t="s">
        <v>22</v>
      </c>
      <c r="L11" s="31"/>
      <c r="M11" s="31"/>
      <c r="N11" s="31"/>
      <c r="P11" s="30" t="s">
        <v>22</v>
      </c>
      <c r="Q11" s="30"/>
      <c r="R11" s="31" t="s">
        <v>22</v>
      </c>
      <c r="S11" s="31"/>
      <c r="T11" s="31"/>
      <c r="U11" s="31"/>
      <c r="W11" s="30" t="s">
        <v>22</v>
      </c>
      <c r="X11" s="30"/>
      <c r="Y11" s="31" t="s">
        <v>22</v>
      </c>
      <c r="Z11" s="31"/>
      <c r="AA11" s="31"/>
      <c r="AB11" s="31"/>
    </row>
    <row r="12" customFormat="false" ht="18" hidden="false" customHeight="true" outlineLevel="0" collapsed="false">
      <c r="B12" s="32" t="s">
        <v>23</v>
      </c>
      <c r="C12" s="32"/>
      <c r="D12" s="33"/>
      <c r="E12" s="33"/>
      <c r="F12" s="33"/>
      <c r="G12" s="33"/>
      <c r="I12" s="32" t="s">
        <v>23</v>
      </c>
      <c r="J12" s="32"/>
      <c r="K12" s="33"/>
      <c r="L12" s="33"/>
      <c r="M12" s="33"/>
      <c r="N12" s="33"/>
      <c r="P12" s="32" t="s">
        <v>23</v>
      </c>
      <c r="Q12" s="32"/>
      <c r="R12" s="33"/>
      <c r="S12" s="33"/>
      <c r="T12" s="33"/>
      <c r="U12" s="33"/>
      <c r="W12" s="32" t="s">
        <v>23</v>
      </c>
      <c r="X12" s="32"/>
      <c r="Y12" s="33"/>
      <c r="Z12" s="33"/>
      <c r="AA12" s="33"/>
      <c r="AB12" s="33"/>
    </row>
    <row r="13" customFormat="false" ht="18" hidden="false" customHeight="true" outlineLevel="0" collapsed="false">
      <c r="B13" s="22" t="s">
        <v>24</v>
      </c>
      <c r="C13" s="34" t="s">
        <v>25</v>
      </c>
      <c r="D13" s="35" t="s">
        <v>26</v>
      </c>
      <c r="E13" s="35" t="s">
        <v>27</v>
      </c>
      <c r="F13" s="35" t="s">
        <v>28</v>
      </c>
      <c r="G13" s="36" t="s">
        <v>29</v>
      </c>
      <c r="I13" s="22" t="s">
        <v>24</v>
      </c>
      <c r="J13" s="34" t="s">
        <v>25</v>
      </c>
      <c r="K13" s="35" t="s">
        <v>26</v>
      </c>
      <c r="L13" s="35" t="s">
        <v>27</v>
      </c>
      <c r="M13" s="35" t="s">
        <v>28</v>
      </c>
      <c r="N13" s="36" t="s">
        <v>29</v>
      </c>
      <c r="P13" s="22" t="s">
        <v>24</v>
      </c>
      <c r="Q13" s="34" t="s">
        <v>25</v>
      </c>
      <c r="R13" s="35" t="s">
        <v>26</v>
      </c>
      <c r="S13" s="35" t="s">
        <v>27</v>
      </c>
      <c r="T13" s="35" t="s">
        <v>28</v>
      </c>
      <c r="U13" s="36" t="s">
        <v>29</v>
      </c>
      <c r="W13" s="22" t="s">
        <v>24</v>
      </c>
      <c r="X13" s="34" t="s">
        <v>25</v>
      </c>
      <c r="Y13" s="35" t="s">
        <v>26</v>
      </c>
      <c r="Z13" s="35" t="s">
        <v>27</v>
      </c>
      <c r="AA13" s="35" t="s">
        <v>28</v>
      </c>
      <c r="AB13" s="36" t="s">
        <v>29</v>
      </c>
    </row>
    <row r="14" customFormat="false" ht="18" hidden="false" customHeight="true" outlineLevel="0" collapsed="false">
      <c r="B14" s="37" t="n">
        <v>1</v>
      </c>
      <c r="C14" s="38" t="s">
        <v>30</v>
      </c>
      <c r="D14" s="39" t="n">
        <v>0</v>
      </c>
      <c r="E14" s="39" t="n">
        <v>24</v>
      </c>
      <c r="F14" s="40" t="n">
        <v>4363.64</v>
      </c>
      <c r="G14" s="41" t="n">
        <v>2181.82</v>
      </c>
      <c r="I14" s="37" t="n">
        <v>1</v>
      </c>
      <c r="J14" s="38" t="s">
        <v>31</v>
      </c>
      <c r="K14" s="39" t="n">
        <v>1</v>
      </c>
      <c r="L14" s="39" t="n">
        <v>0</v>
      </c>
      <c r="M14" s="40" t="n">
        <v>2509.06</v>
      </c>
      <c r="N14" s="41" t="n">
        <v>2509.06</v>
      </c>
      <c r="P14" s="37" t="n">
        <v>1</v>
      </c>
      <c r="Q14" s="38" t="s">
        <v>32</v>
      </c>
      <c r="R14" s="39" t="n">
        <v>2</v>
      </c>
      <c r="S14" s="39" t="n">
        <v>0</v>
      </c>
      <c r="T14" s="40" t="n">
        <v>6731.49</v>
      </c>
      <c r="U14" s="41" t="n">
        <v>13462.98</v>
      </c>
      <c r="W14" s="37" t="n">
        <v>1</v>
      </c>
      <c r="X14" s="38" t="s">
        <v>33</v>
      </c>
      <c r="Y14" s="39" t="n">
        <v>1</v>
      </c>
      <c r="Z14" s="39" t="n">
        <v>0</v>
      </c>
      <c r="AA14" s="40" t="n">
        <v>6984.75</v>
      </c>
      <c r="AB14" s="41" t="n">
        <v>6984.75</v>
      </c>
    </row>
    <row r="15" customFormat="false" ht="18" hidden="false" customHeight="true" outlineLevel="0" collapsed="false">
      <c r="B15" s="42" t="n">
        <v>2</v>
      </c>
      <c r="C15" s="43" t="s">
        <v>34</v>
      </c>
      <c r="D15" s="44" t="n">
        <v>0</v>
      </c>
      <c r="E15" s="44" t="n">
        <v>24</v>
      </c>
      <c r="F15" s="45" t="n">
        <v>4363.64</v>
      </c>
      <c r="G15" s="46" t="n">
        <v>2181.82</v>
      </c>
      <c r="I15" s="42" t="n">
        <v>2</v>
      </c>
      <c r="J15" s="43" t="s">
        <v>35</v>
      </c>
      <c r="K15" s="44" t="n">
        <v>1</v>
      </c>
      <c r="L15" s="44" t="n">
        <v>0</v>
      </c>
      <c r="M15" s="45" t="n">
        <v>2836.36</v>
      </c>
      <c r="N15" s="46" t="n">
        <v>2836.36</v>
      </c>
      <c r="P15" s="42" t="n">
        <v>2</v>
      </c>
      <c r="Q15" s="43" t="s">
        <v>36</v>
      </c>
      <c r="R15" s="44" t="n">
        <v>1</v>
      </c>
      <c r="S15" s="44" t="n">
        <v>0</v>
      </c>
      <c r="T15" s="45" t="n">
        <v>8805.34</v>
      </c>
      <c r="U15" s="46" t="n">
        <v>8805.34</v>
      </c>
      <c r="W15" s="42" t="n">
        <v>2</v>
      </c>
      <c r="X15" s="43" t="s">
        <v>37</v>
      </c>
      <c r="Y15" s="44" t="n">
        <v>2</v>
      </c>
      <c r="Z15" s="44" t="n">
        <v>0</v>
      </c>
      <c r="AA15" s="45" t="n">
        <v>6731.49</v>
      </c>
      <c r="AB15" s="46" t="n">
        <v>13462.98</v>
      </c>
    </row>
    <row r="16" customFormat="false" ht="18" hidden="false" customHeight="true" outlineLevel="0" collapsed="false">
      <c r="B16" s="42" t="n">
        <v>3</v>
      </c>
      <c r="C16" s="43" t="s">
        <v>38</v>
      </c>
      <c r="D16" s="44" t="n">
        <v>1</v>
      </c>
      <c r="E16" s="44" t="n">
        <v>0</v>
      </c>
      <c r="F16" s="45" t="n">
        <v>8718.78</v>
      </c>
      <c r="G16" s="46" t="n">
        <v>8718.78</v>
      </c>
      <c r="I16" s="42" t="n">
        <v>3</v>
      </c>
      <c r="J16" s="43" t="s">
        <v>37</v>
      </c>
      <c r="K16" s="44" t="n">
        <v>1</v>
      </c>
      <c r="L16" s="44" t="n">
        <v>0</v>
      </c>
      <c r="M16" s="45" t="n">
        <v>6731.49</v>
      </c>
      <c r="N16" s="46" t="n">
        <v>6731.49</v>
      </c>
      <c r="P16" s="42" t="n">
        <v>3</v>
      </c>
      <c r="Q16" s="43" t="s">
        <v>39</v>
      </c>
      <c r="R16" s="44" t="n">
        <v>1</v>
      </c>
      <c r="S16" s="44" t="n">
        <v>0</v>
      </c>
      <c r="T16" s="45" t="n">
        <v>7156.97</v>
      </c>
      <c r="U16" s="46" t="n">
        <v>7156.97</v>
      </c>
      <c r="W16" s="42" t="n">
        <v>3</v>
      </c>
      <c r="X16" s="43" t="s">
        <v>40</v>
      </c>
      <c r="Y16" s="44" t="n">
        <v>0</v>
      </c>
      <c r="Z16" s="44" t="n">
        <v>3</v>
      </c>
      <c r="AA16" s="45" t="n">
        <v>25883.17</v>
      </c>
      <c r="AB16" s="46" t="n">
        <v>6470.79</v>
      </c>
    </row>
    <row r="17" customFormat="false" ht="18" hidden="false" customHeight="true" outlineLevel="0" collapsed="false">
      <c r="B17" s="42" t="n">
        <v>4</v>
      </c>
      <c r="C17" s="43" t="s">
        <v>33</v>
      </c>
      <c r="D17" s="44" t="n">
        <v>1</v>
      </c>
      <c r="E17" s="44" t="n">
        <v>0</v>
      </c>
      <c r="F17" s="45" t="n">
        <v>6984.75</v>
      </c>
      <c r="G17" s="46" t="n">
        <v>6984.75</v>
      </c>
      <c r="I17" s="42" t="n">
        <v>4</v>
      </c>
      <c r="J17" s="43" t="s">
        <v>40</v>
      </c>
      <c r="K17" s="44" t="n">
        <v>0</v>
      </c>
      <c r="L17" s="44" t="n">
        <v>3</v>
      </c>
      <c r="M17" s="45" t="n">
        <v>25883.17</v>
      </c>
      <c r="N17" s="46" t="n">
        <v>6470.79</v>
      </c>
      <c r="P17" s="42" t="n">
        <v>4</v>
      </c>
      <c r="Q17" s="43" t="s">
        <v>41</v>
      </c>
      <c r="R17" s="44" t="n">
        <v>1</v>
      </c>
      <c r="S17" s="44" t="n">
        <v>0</v>
      </c>
      <c r="T17" s="45" t="n">
        <v>9084.2</v>
      </c>
      <c r="U17" s="46" t="n">
        <v>9084.2</v>
      </c>
      <c r="W17" s="42" t="n">
        <v>4</v>
      </c>
      <c r="X17" s="43" t="s">
        <v>42</v>
      </c>
      <c r="Y17" s="44" t="n">
        <v>0</v>
      </c>
      <c r="Z17" s="44" t="n">
        <v>24</v>
      </c>
      <c r="AA17" s="45" t="n">
        <v>25154.37</v>
      </c>
      <c r="AB17" s="46" t="n">
        <v>12577.19</v>
      </c>
    </row>
    <row r="18" customFormat="false" ht="18" hidden="false" customHeight="true" outlineLevel="0" collapsed="false">
      <c r="B18" s="42" t="n">
        <v>5</v>
      </c>
      <c r="C18" s="43" t="s">
        <v>36</v>
      </c>
      <c r="D18" s="44" t="n">
        <v>2</v>
      </c>
      <c r="E18" s="44" t="n">
        <v>0</v>
      </c>
      <c r="F18" s="45" t="n">
        <v>8805.34</v>
      </c>
      <c r="G18" s="46" t="n">
        <v>17610.68</v>
      </c>
      <c r="I18" s="42" t="n">
        <v>5</v>
      </c>
      <c r="J18" s="43" t="s">
        <v>42</v>
      </c>
      <c r="K18" s="44" t="n">
        <v>0</v>
      </c>
      <c r="L18" s="44" t="n">
        <v>24</v>
      </c>
      <c r="M18" s="45" t="n">
        <v>25154.37</v>
      </c>
      <c r="N18" s="46" t="n">
        <v>12577.19</v>
      </c>
      <c r="P18" s="42" t="n">
        <v>5</v>
      </c>
      <c r="Q18" s="43" t="s">
        <v>43</v>
      </c>
      <c r="R18" s="44" t="n">
        <v>2</v>
      </c>
      <c r="S18" s="44" t="n">
        <v>0</v>
      </c>
      <c r="T18" s="45" t="n">
        <v>9628.7</v>
      </c>
      <c r="U18" s="46" t="n">
        <v>19257.4</v>
      </c>
      <c r="W18" s="42" t="n">
        <v>5</v>
      </c>
      <c r="X18" s="43" t="s">
        <v>36</v>
      </c>
      <c r="Y18" s="44" t="n">
        <v>2</v>
      </c>
      <c r="Z18" s="44" t="n">
        <v>0</v>
      </c>
      <c r="AA18" s="45" t="n">
        <v>8805.34</v>
      </c>
      <c r="AB18" s="46" t="n">
        <v>17610.68</v>
      </c>
    </row>
    <row r="19" customFormat="false" ht="18" hidden="false" customHeight="true" outlineLevel="0" collapsed="false">
      <c r="B19" s="42" t="n">
        <v>6</v>
      </c>
      <c r="C19" s="43" t="s">
        <v>44</v>
      </c>
      <c r="D19" s="44" t="n">
        <v>1</v>
      </c>
      <c r="E19" s="44" t="n">
        <v>0</v>
      </c>
      <c r="F19" s="45" t="n">
        <v>8726.82</v>
      </c>
      <c r="G19" s="46" t="n">
        <v>8726.82</v>
      </c>
      <c r="I19" s="42" t="n">
        <v>6</v>
      </c>
      <c r="J19" s="43" t="s">
        <v>39</v>
      </c>
      <c r="K19" s="44" t="n">
        <v>1</v>
      </c>
      <c r="L19" s="44" t="n">
        <v>0</v>
      </c>
      <c r="M19" s="45" t="n">
        <v>7156.97</v>
      </c>
      <c r="N19" s="46" t="n">
        <v>7156.97</v>
      </c>
      <c r="P19" s="42" t="n">
        <v>6</v>
      </c>
      <c r="Q19" s="43" t="s">
        <v>45</v>
      </c>
      <c r="R19" s="44" t="n">
        <v>1</v>
      </c>
      <c r="S19" s="44" t="n">
        <v>0</v>
      </c>
      <c r="T19" s="45" t="n">
        <v>9295.78</v>
      </c>
      <c r="U19" s="46" t="n">
        <v>9295.78</v>
      </c>
      <c r="W19" s="42" t="n">
        <v>6</v>
      </c>
      <c r="X19" s="43" t="s">
        <v>43</v>
      </c>
      <c r="Y19" s="44" t="n">
        <v>3</v>
      </c>
      <c r="Z19" s="44" t="n">
        <v>0</v>
      </c>
      <c r="AA19" s="45" t="n">
        <v>9628.7</v>
      </c>
      <c r="AB19" s="46" t="n">
        <v>28886.1</v>
      </c>
    </row>
    <row r="20" customFormat="false" ht="18" hidden="false" customHeight="true" outlineLevel="0" collapsed="false">
      <c r="B20" s="42" t="n">
        <v>7</v>
      </c>
      <c r="C20" s="43" t="s">
        <v>46</v>
      </c>
      <c r="D20" s="44" t="n">
        <v>5</v>
      </c>
      <c r="E20" s="44" t="n">
        <v>0</v>
      </c>
      <c r="F20" s="45" t="n">
        <v>9295.78</v>
      </c>
      <c r="G20" s="46" t="n">
        <v>46478.9</v>
      </c>
      <c r="I20" s="42" t="n">
        <v>7</v>
      </c>
      <c r="J20" s="43" t="s">
        <v>43</v>
      </c>
      <c r="K20" s="44" t="n">
        <v>1</v>
      </c>
      <c r="L20" s="44" t="n">
        <v>0</v>
      </c>
      <c r="M20" s="45" t="n">
        <v>9628.7</v>
      </c>
      <c r="N20" s="46" t="n">
        <v>9628.7</v>
      </c>
      <c r="P20" s="42" t="n">
        <v>7</v>
      </c>
      <c r="Q20" s="43" t="s">
        <v>47</v>
      </c>
      <c r="R20" s="44" t="n">
        <v>1</v>
      </c>
      <c r="S20" s="44" t="n">
        <v>0</v>
      </c>
      <c r="T20" s="45" t="n">
        <v>7179.32</v>
      </c>
      <c r="U20" s="46" t="n">
        <v>7179.32</v>
      </c>
      <c r="W20" s="42" t="n">
        <v>7</v>
      </c>
      <c r="X20" s="43" t="s">
        <v>45</v>
      </c>
      <c r="Y20" s="44" t="n">
        <v>2</v>
      </c>
      <c r="Z20" s="44" t="n">
        <v>0</v>
      </c>
      <c r="AA20" s="45" t="n">
        <v>9295.78</v>
      </c>
      <c r="AB20" s="46" t="n">
        <v>18591.56</v>
      </c>
    </row>
    <row r="21" customFormat="false" ht="18" hidden="false" customHeight="true" outlineLevel="0" collapsed="false">
      <c r="B21" s="42" t="n">
        <v>8</v>
      </c>
      <c r="C21" s="43" t="s">
        <v>48</v>
      </c>
      <c r="D21" s="44" t="n">
        <v>1</v>
      </c>
      <c r="E21" s="44" t="n">
        <v>0</v>
      </c>
      <c r="F21" s="45" t="n">
        <v>7447.05</v>
      </c>
      <c r="G21" s="46" t="n">
        <v>7447.05</v>
      </c>
      <c r="I21" s="42" t="n">
        <v>8</v>
      </c>
      <c r="J21" s="43" t="s">
        <v>45</v>
      </c>
      <c r="K21" s="44" t="n">
        <v>1</v>
      </c>
      <c r="L21" s="44" t="n">
        <v>0</v>
      </c>
      <c r="M21" s="45" t="n">
        <v>9295.78</v>
      </c>
      <c r="N21" s="46" t="n">
        <v>9295.78</v>
      </c>
      <c r="P21" s="42" t="n">
        <v>8</v>
      </c>
      <c r="Q21" s="43" t="s">
        <v>48</v>
      </c>
      <c r="R21" s="44" t="n">
        <v>1</v>
      </c>
      <c r="S21" s="44" t="n">
        <v>0</v>
      </c>
      <c r="T21" s="45" t="n">
        <v>7447.05</v>
      </c>
      <c r="U21" s="46" t="n">
        <v>7447.05</v>
      </c>
      <c r="W21" s="42" t="n">
        <v>8</v>
      </c>
      <c r="X21" s="43" t="s">
        <v>47</v>
      </c>
      <c r="Y21" s="44" t="n">
        <v>1</v>
      </c>
      <c r="Z21" s="44" t="n">
        <v>0</v>
      </c>
      <c r="AA21" s="45" t="n">
        <v>7179.32</v>
      </c>
      <c r="AB21" s="46" t="n">
        <v>7179.32</v>
      </c>
    </row>
    <row r="22" customFormat="false" ht="18" hidden="false" customHeight="true" outlineLevel="0" collapsed="false">
      <c r="B22" s="42" t="n">
        <v>9</v>
      </c>
      <c r="C22" s="43" t="s">
        <v>49</v>
      </c>
      <c r="D22" s="44" t="n">
        <v>2</v>
      </c>
      <c r="E22" s="44" t="n">
        <v>0</v>
      </c>
      <c r="F22" s="45" t="n">
        <v>8726.82</v>
      </c>
      <c r="G22" s="46" t="n">
        <v>17453.64</v>
      </c>
      <c r="I22" s="42" t="n">
        <v>9</v>
      </c>
      <c r="J22" s="43" t="s">
        <v>47</v>
      </c>
      <c r="K22" s="44" t="n">
        <v>1</v>
      </c>
      <c r="L22" s="44" t="n">
        <v>0</v>
      </c>
      <c r="M22" s="45" t="n">
        <v>7179.32</v>
      </c>
      <c r="N22" s="46" t="n">
        <v>7179.32</v>
      </c>
      <c r="P22" s="42" t="n">
        <v>9</v>
      </c>
      <c r="Q22" s="43" t="s">
        <v>49</v>
      </c>
      <c r="R22" s="44" t="n">
        <v>2</v>
      </c>
      <c r="S22" s="44" t="n">
        <v>0</v>
      </c>
      <c r="T22" s="45" t="n">
        <v>8726.82</v>
      </c>
      <c r="U22" s="46" t="n">
        <v>17453.64</v>
      </c>
      <c r="W22" s="42" t="n">
        <v>9</v>
      </c>
      <c r="X22" s="43" t="s">
        <v>50</v>
      </c>
      <c r="Y22" s="44" t="n">
        <v>1</v>
      </c>
      <c r="Z22" s="44" t="n">
        <v>0</v>
      </c>
      <c r="AA22" s="45" t="n">
        <v>12215.05</v>
      </c>
      <c r="AB22" s="46" t="n">
        <v>12215.05</v>
      </c>
    </row>
    <row r="23" customFormat="false" ht="18" hidden="false" customHeight="true" outlineLevel="0" collapsed="false">
      <c r="B23" s="42" t="n">
        <v>10</v>
      </c>
      <c r="C23" s="43" t="s">
        <v>51</v>
      </c>
      <c r="D23" s="44" t="n">
        <v>1</v>
      </c>
      <c r="E23" s="44" t="n">
        <v>0</v>
      </c>
      <c r="F23" s="45" t="n">
        <v>9085.2</v>
      </c>
      <c r="G23" s="46" t="n">
        <v>9085.2</v>
      </c>
      <c r="I23" s="42" t="n">
        <v>10</v>
      </c>
      <c r="J23" s="43" t="s">
        <v>49</v>
      </c>
      <c r="K23" s="44" t="n">
        <v>2</v>
      </c>
      <c r="L23" s="44" t="n">
        <v>0</v>
      </c>
      <c r="M23" s="45" t="n">
        <v>8726.82</v>
      </c>
      <c r="N23" s="46" t="n">
        <v>17453.64</v>
      </c>
      <c r="P23" s="42" t="n">
        <v>10</v>
      </c>
      <c r="Q23" s="43" t="s">
        <v>52</v>
      </c>
      <c r="R23" s="44" t="n">
        <v>2</v>
      </c>
      <c r="S23" s="44" t="n">
        <v>0</v>
      </c>
      <c r="T23" s="45" t="n">
        <v>15054.42</v>
      </c>
      <c r="U23" s="46" t="n">
        <v>30108.84</v>
      </c>
      <c r="W23" s="42" t="n">
        <v>10</v>
      </c>
      <c r="X23" s="43" t="s">
        <v>49</v>
      </c>
      <c r="Y23" s="44" t="n">
        <v>4</v>
      </c>
      <c r="Z23" s="44" t="n">
        <v>0</v>
      </c>
      <c r="AA23" s="45" t="n">
        <v>8726.82</v>
      </c>
      <c r="AB23" s="46" t="n">
        <v>34907.28</v>
      </c>
    </row>
    <row r="24" customFormat="false" ht="18" hidden="false" customHeight="true" outlineLevel="0" collapsed="false">
      <c r="B24" s="42" t="n">
        <v>11</v>
      </c>
      <c r="C24" s="43" t="s">
        <v>53</v>
      </c>
      <c r="D24" s="44" t="n">
        <v>0</v>
      </c>
      <c r="E24" s="44" t="n">
        <v>12</v>
      </c>
      <c r="F24" s="45" t="n">
        <v>25308.14</v>
      </c>
      <c r="G24" s="46" t="n">
        <v>6327.04</v>
      </c>
      <c r="I24" s="42" t="n">
        <v>11</v>
      </c>
      <c r="J24" s="43" t="s">
        <v>51</v>
      </c>
      <c r="K24" s="44" t="n">
        <v>1</v>
      </c>
      <c r="L24" s="44" t="n">
        <v>0</v>
      </c>
      <c r="M24" s="45" t="n">
        <v>9085.2</v>
      </c>
      <c r="N24" s="46" t="n">
        <v>9085.2</v>
      </c>
      <c r="P24" s="42" t="n">
        <v>11</v>
      </c>
      <c r="Q24" s="43" t="s">
        <v>54</v>
      </c>
      <c r="R24" s="44" t="n">
        <v>0</v>
      </c>
      <c r="S24" s="44" t="n">
        <v>7</v>
      </c>
      <c r="T24" s="45" t="n">
        <v>14508.28</v>
      </c>
      <c r="U24" s="46" t="n">
        <v>8463.16</v>
      </c>
      <c r="W24" s="42" t="n">
        <v>11</v>
      </c>
      <c r="X24" s="43" t="s">
        <v>51</v>
      </c>
      <c r="Y24" s="44" t="n">
        <v>1</v>
      </c>
      <c r="Z24" s="44" t="n">
        <v>0</v>
      </c>
      <c r="AA24" s="45" t="n">
        <v>9085.2</v>
      </c>
      <c r="AB24" s="46" t="n">
        <v>9085.2</v>
      </c>
    </row>
    <row r="25" customFormat="false" ht="18" hidden="false" customHeight="true" outlineLevel="0" collapsed="false">
      <c r="B25" s="42" t="n">
        <v>12</v>
      </c>
      <c r="C25" s="43" t="s">
        <v>52</v>
      </c>
      <c r="D25" s="44" t="n">
        <v>2</v>
      </c>
      <c r="E25" s="44" t="n">
        <v>0</v>
      </c>
      <c r="F25" s="45" t="n">
        <v>15054.42</v>
      </c>
      <c r="G25" s="46" t="n">
        <v>30108.84</v>
      </c>
      <c r="I25" s="42" t="n">
        <v>12</v>
      </c>
      <c r="J25" s="43" t="s">
        <v>55</v>
      </c>
      <c r="K25" s="44" t="n">
        <v>0</v>
      </c>
      <c r="L25" s="44" t="n">
        <v>3</v>
      </c>
      <c r="M25" s="45" t="n">
        <v>25882.17</v>
      </c>
      <c r="N25" s="46" t="n">
        <v>6470.54</v>
      </c>
      <c r="P25" s="42" t="n">
        <v>12</v>
      </c>
      <c r="Q25" s="43" t="s">
        <v>56</v>
      </c>
      <c r="R25" s="44" t="n">
        <v>1</v>
      </c>
      <c r="S25" s="44" t="n">
        <v>0</v>
      </c>
      <c r="T25" s="45" t="n">
        <v>12028.12</v>
      </c>
      <c r="U25" s="46" t="n">
        <v>12028.12</v>
      </c>
      <c r="W25" s="42" t="n">
        <v>12</v>
      </c>
      <c r="X25" s="43" t="s">
        <v>53</v>
      </c>
      <c r="Y25" s="44" t="n">
        <v>0</v>
      </c>
      <c r="Z25" s="44" t="n">
        <v>24</v>
      </c>
      <c r="AA25" s="45" t="n">
        <v>25308.14</v>
      </c>
      <c r="AB25" s="46" t="n">
        <v>12654.07</v>
      </c>
    </row>
    <row r="26" customFormat="false" ht="18" hidden="false" customHeight="true" outlineLevel="0" collapsed="false">
      <c r="B26" s="42" t="n">
        <v>13</v>
      </c>
      <c r="C26" s="43" t="s">
        <v>54</v>
      </c>
      <c r="D26" s="44" t="n">
        <v>0</v>
      </c>
      <c r="E26" s="44" t="n">
        <v>6</v>
      </c>
      <c r="F26" s="45" t="n">
        <v>14508.28</v>
      </c>
      <c r="G26" s="46" t="n">
        <v>7254.14</v>
      </c>
      <c r="I26" s="42" t="n">
        <v>13</v>
      </c>
      <c r="J26" s="43" t="s">
        <v>54</v>
      </c>
      <c r="K26" s="44" t="n">
        <v>0</v>
      </c>
      <c r="L26" s="44" t="n">
        <v>6</v>
      </c>
      <c r="M26" s="45" t="n">
        <v>14508.28</v>
      </c>
      <c r="N26" s="46" t="n">
        <v>7254.14</v>
      </c>
      <c r="P26" s="42" t="n">
        <v>13</v>
      </c>
      <c r="Q26" s="43" t="s">
        <v>57</v>
      </c>
      <c r="R26" s="44" t="n">
        <v>1</v>
      </c>
      <c r="S26" s="44" t="n">
        <v>0</v>
      </c>
      <c r="T26" s="45" t="n">
        <v>7629.11</v>
      </c>
      <c r="U26" s="46" t="n">
        <v>7629.11</v>
      </c>
      <c r="W26" s="42" t="n">
        <v>13</v>
      </c>
      <c r="X26" s="43" t="s">
        <v>52</v>
      </c>
      <c r="Y26" s="44" t="n">
        <v>1</v>
      </c>
      <c r="Z26" s="44" t="n">
        <v>0</v>
      </c>
      <c r="AA26" s="45" t="n">
        <v>15054.42</v>
      </c>
      <c r="AB26" s="46" t="n">
        <v>15054.42</v>
      </c>
    </row>
    <row r="27" customFormat="false" ht="18" hidden="false" customHeight="true" outlineLevel="0" collapsed="false">
      <c r="B27" s="42" t="n">
        <v>14</v>
      </c>
      <c r="C27" s="43" t="s">
        <v>56</v>
      </c>
      <c r="D27" s="44" t="n">
        <v>1</v>
      </c>
      <c r="E27" s="44" t="n">
        <v>0</v>
      </c>
      <c r="F27" s="45" t="n">
        <v>12028.12</v>
      </c>
      <c r="G27" s="46" t="n">
        <v>12028.12</v>
      </c>
      <c r="I27" s="42" t="n">
        <v>14</v>
      </c>
      <c r="J27" s="43" t="s">
        <v>56</v>
      </c>
      <c r="K27" s="44" t="n">
        <v>1</v>
      </c>
      <c r="L27" s="44" t="n">
        <v>0</v>
      </c>
      <c r="M27" s="45" t="n">
        <v>12028.12</v>
      </c>
      <c r="N27" s="46" t="n">
        <v>12028.12</v>
      </c>
      <c r="P27" s="42" t="n">
        <v>14</v>
      </c>
      <c r="Q27" s="43" t="s">
        <v>58</v>
      </c>
      <c r="R27" s="44" t="n">
        <v>0</v>
      </c>
      <c r="S27" s="44" t="n">
        <v>24</v>
      </c>
      <c r="T27" s="45" t="n">
        <v>11500.22</v>
      </c>
      <c r="U27" s="46" t="n">
        <v>5750.11</v>
      </c>
      <c r="W27" s="42" t="n">
        <v>14</v>
      </c>
      <c r="X27" s="43" t="s">
        <v>56</v>
      </c>
      <c r="Y27" s="44" t="n">
        <v>1</v>
      </c>
      <c r="Z27" s="44" t="n">
        <v>0</v>
      </c>
      <c r="AA27" s="45" t="n">
        <v>12028.12</v>
      </c>
      <c r="AB27" s="46" t="n">
        <v>12028.12</v>
      </c>
    </row>
    <row r="28" customFormat="false" ht="18" hidden="false" customHeight="true" outlineLevel="0" collapsed="false">
      <c r="B28" s="42" t="n">
        <v>15</v>
      </c>
      <c r="C28" s="43" t="s">
        <v>59</v>
      </c>
      <c r="D28" s="44" t="n">
        <v>0</v>
      </c>
      <c r="E28" s="44" t="n">
        <v>6</v>
      </c>
      <c r="F28" s="45" t="n">
        <v>12453.96</v>
      </c>
      <c r="G28" s="46" t="n">
        <v>6226.98</v>
      </c>
      <c r="I28" s="42" t="n">
        <v>15</v>
      </c>
      <c r="J28" s="43" t="s">
        <v>59</v>
      </c>
      <c r="K28" s="44" t="n">
        <v>0</v>
      </c>
      <c r="L28" s="44" t="n">
        <v>6</v>
      </c>
      <c r="M28" s="45" t="n">
        <v>12453.96</v>
      </c>
      <c r="N28" s="46" t="n">
        <v>6226.98</v>
      </c>
      <c r="P28" s="42" t="n">
        <v>15</v>
      </c>
      <c r="Q28" s="43" t="s">
        <v>60</v>
      </c>
      <c r="R28" s="44" t="n">
        <v>4</v>
      </c>
      <c r="S28" s="44" t="n">
        <v>0</v>
      </c>
      <c r="T28" s="45" t="n">
        <v>2232.11</v>
      </c>
      <c r="U28" s="46" t="n">
        <v>8928.44</v>
      </c>
      <c r="W28" s="42" t="n">
        <v>15</v>
      </c>
      <c r="X28" s="43" t="s">
        <v>61</v>
      </c>
      <c r="Y28" s="44" t="n">
        <v>1</v>
      </c>
      <c r="Z28" s="44" t="n">
        <v>0</v>
      </c>
      <c r="AA28" s="45" t="n">
        <v>8774.05</v>
      </c>
      <c r="AB28" s="46" t="n">
        <v>8774.05</v>
      </c>
    </row>
    <row r="29" customFormat="false" ht="18" hidden="false" customHeight="true" outlineLevel="0" collapsed="false">
      <c r="B29" s="42" t="n">
        <v>16</v>
      </c>
      <c r="C29" s="43" t="s">
        <v>62</v>
      </c>
      <c r="D29" s="44" t="n">
        <v>0</v>
      </c>
      <c r="E29" s="44" t="n">
        <v>3</v>
      </c>
      <c r="F29" s="45" t="n">
        <v>14467.88</v>
      </c>
      <c r="G29" s="46" t="n">
        <v>3616.97</v>
      </c>
      <c r="I29" s="42" t="n">
        <v>16</v>
      </c>
      <c r="J29" s="43" t="s">
        <v>61</v>
      </c>
      <c r="K29" s="44" t="n">
        <v>1</v>
      </c>
      <c r="L29" s="44" t="n">
        <v>0</v>
      </c>
      <c r="M29" s="45" t="n">
        <v>8774.05</v>
      </c>
      <c r="N29" s="46" t="n">
        <v>8774.05</v>
      </c>
      <c r="P29" s="42" t="n">
        <v>16</v>
      </c>
      <c r="Q29" s="43" t="s">
        <v>63</v>
      </c>
      <c r="R29" s="44" t="n">
        <v>2</v>
      </c>
      <c r="S29" s="44" t="n">
        <v>0</v>
      </c>
      <c r="T29" s="45" t="n">
        <v>2725.8</v>
      </c>
      <c r="U29" s="46" t="n">
        <v>5451.6</v>
      </c>
      <c r="W29" s="42" t="n">
        <v>16</v>
      </c>
      <c r="X29" s="43" t="s">
        <v>64</v>
      </c>
      <c r="Y29" s="44" t="n">
        <v>1</v>
      </c>
      <c r="Z29" s="44" t="n">
        <v>0</v>
      </c>
      <c r="AA29" s="45" t="n">
        <v>9085.2</v>
      </c>
      <c r="AB29" s="46" t="n">
        <v>9085.2</v>
      </c>
    </row>
    <row r="30" customFormat="false" ht="18" hidden="false" customHeight="true" outlineLevel="0" collapsed="false">
      <c r="B30" s="42" t="n">
        <v>17</v>
      </c>
      <c r="C30" s="43" t="s">
        <v>57</v>
      </c>
      <c r="D30" s="44" t="n">
        <v>1</v>
      </c>
      <c r="E30" s="44" t="n">
        <v>0</v>
      </c>
      <c r="F30" s="45" t="n">
        <v>7629.11</v>
      </c>
      <c r="G30" s="46" t="n">
        <v>7629.11</v>
      </c>
      <c r="I30" s="42" t="n">
        <v>17</v>
      </c>
      <c r="J30" s="43" t="s">
        <v>65</v>
      </c>
      <c r="K30" s="44" t="n">
        <v>1</v>
      </c>
      <c r="L30" s="44" t="n">
        <v>0</v>
      </c>
      <c r="M30" s="45" t="n">
        <v>7155.96</v>
      </c>
      <c r="N30" s="46" t="n">
        <v>7155.96</v>
      </c>
      <c r="P30" s="42" t="n">
        <v>17</v>
      </c>
      <c r="Q30" s="43" t="s">
        <v>66</v>
      </c>
      <c r="R30" s="44" t="n">
        <v>6</v>
      </c>
      <c r="S30" s="44" t="n">
        <v>0</v>
      </c>
      <c r="T30" s="45" t="n">
        <v>1867.49</v>
      </c>
      <c r="U30" s="46" t="n">
        <v>11204.94</v>
      </c>
      <c r="W30" s="42" t="n">
        <v>17</v>
      </c>
      <c r="X30" s="43" t="s">
        <v>67</v>
      </c>
      <c r="Y30" s="44" t="n">
        <v>0</v>
      </c>
      <c r="Z30" s="44" t="n">
        <v>6</v>
      </c>
      <c r="AA30" s="45" t="n">
        <v>12635.87</v>
      </c>
      <c r="AB30" s="46" t="n">
        <v>6317.94</v>
      </c>
    </row>
    <row r="31" customFormat="false" ht="18" hidden="false" customHeight="true" outlineLevel="0" collapsed="false">
      <c r="B31" s="42" t="n">
        <v>18</v>
      </c>
      <c r="C31" s="43" t="s">
        <v>68</v>
      </c>
      <c r="D31" s="44" t="n">
        <v>0</v>
      </c>
      <c r="E31" s="44" t="n">
        <v>3</v>
      </c>
      <c r="F31" s="45" t="n">
        <v>11873.32</v>
      </c>
      <c r="G31" s="46" t="n">
        <v>2968.33</v>
      </c>
      <c r="I31" s="42" t="n">
        <v>18</v>
      </c>
      <c r="J31" s="43" t="s">
        <v>57</v>
      </c>
      <c r="K31" s="44" t="n">
        <v>1</v>
      </c>
      <c r="L31" s="44" t="n">
        <v>0</v>
      </c>
      <c r="M31" s="45" t="n">
        <v>7629.11</v>
      </c>
      <c r="N31" s="46" t="n">
        <v>7629.11</v>
      </c>
      <c r="P31" s="42" t="n">
        <v>18</v>
      </c>
      <c r="Q31" s="43" t="s">
        <v>69</v>
      </c>
      <c r="R31" s="44" t="n">
        <v>1</v>
      </c>
      <c r="S31" s="44" t="n">
        <v>0</v>
      </c>
      <c r="T31" s="45" t="n">
        <v>1233.92</v>
      </c>
      <c r="U31" s="46" t="n">
        <v>1233.92</v>
      </c>
      <c r="W31" s="42" t="n">
        <v>18</v>
      </c>
      <c r="X31" s="43" t="s">
        <v>57</v>
      </c>
      <c r="Y31" s="44" t="n">
        <v>1</v>
      </c>
      <c r="Z31" s="44" t="n">
        <v>0</v>
      </c>
      <c r="AA31" s="45" t="n">
        <v>7629.11</v>
      </c>
      <c r="AB31" s="46" t="n">
        <v>7629.11</v>
      </c>
    </row>
    <row r="32" customFormat="false" ht="18" hidden="false" customHeight="true" outlineLevel="0" collapsed="false">
      <c r="B32" s="42" t="n">
        <v>19</v>
      </c>
      <c r="C32" s="43" t="s">
        <v>70</v>
      </c>
      <c r="D32" s="44" t="n">
        <v>0</v>
      </c>
      <c r="E32" s="44" t="n">
        <v>3</v>
      </c>
      <c r="F32" s="45" t="n">
        <v>14276.28</v>
      </c>
      <c r="G32" s="46" t="n">
        <v>3569.07</v>
      </c>
      <c r="I32" s="42" t="n">
        <v>19</v>
      </c>
      <c r="J32" s="43" t="s">
        <v>68</v>
      </c>
      <c r="K32" s="44" t="n">
        <v>0</v>
      </c>
      <c r="L32" s="44" t="n">
        <v>3</v>
      </c>
      <c r="M32" s="45" t="n">
        <v>11873.32</v>
      </c>
      <c r="N32" s="46" t="n">
        <v>2968.33</v>
      </c>
      <c r="P32" s="42" t="n">
        <v>19</v>
      </c>
      <c r="Q32" s="43" t="s">
        <v>71</v>
      </c>
      <c r="R32" s="44" t="n">
        <v>4</v>
      </c>
      <c r="S32" s="44" t="n">
        <v>0</v>
      </c>
      <c r="T32" s="45" t="n">
        <v>1187.75</v>
      </c>
      <c r="U32" s="46" t="n">
        <v>4751</v>
      </c>
      <c r="W32" s="42" t="n">
        <v>19</v>
      </c>
      <c r="X32" s="43" t="s">
        <v>72</v>
      </c>
      <c r="Y32" s="44" t="n">
        <v>1</v>
      </c>
      <c r="Z32" s="44" t="n">
        <v>0</v>
      </c>
      <c r="AA32" s="45" t="n">
        <v>8307.33</v>
      </c>
      <c r="AB32" s="46" t="n">
        <v>8307.33</v>
      </c>
    </row>
    <row r="33" customFormat="false" ht="18" hidden="false" customHeight="true" outlineLevel="0" collapsed="false">
      <c r="B33" s="42" t="n">
        <v>20</v>
      </c>
      <c r="C33" s="43" t="s">
        <v>73</v>
      </c>
      <c r="D33" s="44" t="n">
        <v>2</v>
      </c>
      <c r="E33" s="44" t="n">
        <v>0</v>
      </c>
      <c r="F33" s="45" t="n">
        <v>2727.19</v>
      </c>
      <c r="G33" s="46" t="n">
        <v>5454.38</v>
      </c>
      <c r="I33" s="42" t="n">
        <v>20</v>
      </c>
      <c r="J33" s="43" t="s">
        <v>72</v>
      </c>
      <c r="K33" s="44" t="n">
        <v>1</v>
      </c>
      <c r="L33" s="44" t="n">
        <v>0</v>
      </c>
      <c r="M33" s="45" t="n">
        <v>8307.33</v>
      </c>
      <c r="N33" s="46" t="n">
        <v>8307.33</v>
      </c>
      <c r="P33" s="42" t="n">
        <v>20</v>
      </c>
      <c r="Q33" s="43" t="s">
        <v>74</v>
      </c>
      <c r="R33" s="44" t="n">
        <v>1</v>
      </c>
      <c r="S33" s="44" t="n">
        <v>0</v>
      </c>
      <c r="T33" s="45" t="n">
        <v>2093.97</v>
      </c>
      <c r="U33" s="46" t="n">
        <v>2093.97</v>
      </c>
      <c r="W33" s="42" t="n">
        <v>20</v>
      </c>
      <c r="X33" s="43" t="s">
        <v>75</v>
      </c>
      <c r="Y33" s="44" t="n">
        <v>4</v>
      </c>
      <c r="Z33" s="44" t="n">
        <v>0</v>
      </c>
      <c r="AA33" s="45" t="n">
        <v>2727.27</v>
      </c>
      <c r="AB33" s="46" t="n">
        <v>10909.08</v>
      </c>
    </row>
    <row r="34" customFormat="false" ht="18" hidden="false" customHeight="true" outlineLevel="0" collapsed="false">
      <c r="B34" s="42" t="n">
        <v>21</v>
      </c>
      <c r="C34" s="43" t="s">
        <v>76</v>
      </c>
      <c r="D34" s="44" t="n">
        <v>2</v>
      </c>
      <c r="E34" s="44" t="n">
        <v>0</v>
      </c>
      <c r="F34" s="45" t="n">
        <v>2591.91</v>
      </c>
      <c r="G34" s="46" t="n">
        <v>5183.82</v>
      </c>
      <c r="I34" s="42" t="n">
        <v>21</v>
      </c>
      <c r="J34" s="43" t="s">
        <v>77</v>
      </c>
      <c r="K34" s="44" t="n">
        <v>0</v>
      </c>
      <c r="L34" s="44" t="n">
        <v>12</v>
      </c>
      <c r="M34" s="45" t="n">
        <v>13903.17</v>
      </c>
      <c r="N34" s="46" t="n">
        <v>3475.79</v>
      </c>
      <c r="P34" s="42" t="n">
        <v>21</v>
      </c>
      <c r="Q34" s="43" t="s">
        <v>78</v>
      </c>
      <c r="R34" s="44" t="n">
        <v>5</v>
      </c>
      <c r="S34" s="44" t="n">
        <v>0</v>
      </c>
      <c r="T34" s="45" t="n">
        <v>1953.04</v>
      </c>
      <c r="U34" s="46" t="n">
        <v>9765.2</v>
      </c>
      <c r="W34" s="42" t="n">
        <v>21</v>
      </c>
      <c r="X34" s="43" t="s">
        <v>76</v>
      </c>
      <c r="Y34" s="44" t="n">
        <v>2</v>
      </c>
      <c r="Z34" s="44" t="n">
        <v>0</v>
      </c>
      <c r="AA34" s="45" t="n">
        <v>2591.91</v>
      </c>
      <c r="AB34" s="46" t="n">
        <v>5183.82</v>
      </c>
    </row>
    <row r="35" customFormat="false" ht="18" hidden="false" customHeight="true" outlineLevel="0" collapsed="false">
      <c r="B35" s="42" t="n">
        <v>22</v>
      </c>
      <c r="C35" s="43" t="s">
        <v>69</v>
      </c>
      <c r="D35" s="44" t="n">
        <v>1</v>
      </c>
      <c r="E35" s="44" t="n">
        <v>0</v>
      </c>
      <c r="F35" s="45" t="n">
        <v>1233.92</v>
      </c>
      <c r="G35" s="46" t="n">
        <v>1233.92</v>
      </c>
      <c r="I35" s="42" t="n">
        <v>22</v>
      </c>
      <c r="J35" s="43" t="s">
        <v>73</v>
      </c>
      <c r="K35" s="44" t="n">
        <v>4</v>
      </c>
      <c r="L35" s="44" t="n">
        <v>0</v>
      </c>
      <c r="M35" s="45" t="n">
        <v>2727.19</v>
      </c>
      <c r="N35" s="46" t="n">
        <v>10908.76</v>
      </c>
      <c r="P35" s="42" t="n">
        <v>22</v>
      </c>
      <c r="Q35" s="43" t="s">
        <v>79</v>
      </c>
      <c r="R35" s="44" t="n">
        <v>1</v>
      </c>
      <c r="S35" s="44" t="n">
        <v>0</v>
      </c>
      <c r="T35" s="45" t="n">
        <v>1636.01</v>
      </c>
      <c r="U35" s="46" t="n">
        <v>1636.01</v>
      </c>
      <c r="W35" s="42" t="n">
        <v>22</v>
      </c>
      <c r="X35" s="43" t="s">
        <v>63</v>
      </c>
      <c r="Y35" s="44" t="n">
        <v>2</v>
      </c>
      <c r="Z35" s="44" t="n">
        <v>0</v>
      </c>
      <c r="AA35" s="45" t="n">
        <v>2725.8</v>
      </c>
      <c r="AB35" s="46" t="n">
        <v>5451.6</v>
      </c>
    </row>
    <row r="36" customFormat="false" ht="18" hidden="false" customHeight="true" outlineLevel="0" collapsed="false">
      <c r="B36" s="42" t="n">
        <v>23</v>
      </c>
      <c r="C36" s="43" t="s">
        <v>71</v>
      </c>
      <c r="D36" s="44" t="n">
        <v>5</v>
      </c>
      <c r="E36" s="44" t="n">
        <v>0</v>
      </c>
      <c r="F36" s="45" t="n">
        <v>1187.75</v>
      </c>
      <c r="G36" s="46" t="n">
        <v>5938.75</v>
      </c>
      <c r="I36" s="42" t="n">
        <v>23</v>
      </c>
      <c r="J36" s="43" t="s">
        <v>75</v>
      </c>
      <c r="K36" s="44" t="n">
        <v>3</v>
      </c>
      <c r="L36" s="44" t="n">
        <v>0</v>
      </c>
      <c r="M36" s="45" t="n">
        <v>2727.27</v>
      </c>
      <c r="N36" s="46" t="n">
        <v>8181.81</v>
      </c>
      <c r="P36" s="42" t="n">
        <v>23</v>
      </c>
      <c r="Q36" s="43" t="s">
        <v>80</v>
      </c>
      <c r="R36" s="44" t="n">
        <v>1</v>
      </c>
      <c r="S36" s="44" t="n">
        <v>0</v>
      </c>
      <c r="T36" s="45" t="n">
        <v>1472.7</v>
      </c>
      <c r="U36" s="46" t="n">
        <v>1472.7</v>
      </c>
      <c r="W36" s="42" t="n">
        <v>23</v>
      </c>
      <c r="X36" s="43" t="s">
        <v>66</v>
      </c>
      <c r="Y36" s="44" t="n">
        <v>10</v>
      </c>
      <c r="Z36" s="44" t="n">
        <v>0</v>
      </c>
      <c r="AA36" s="45" t="n">
        <v>1867.49</v>
      </c>
      <c r="AB36" s="46" t="n">
        <v>18674.9</v>
      </c>
    </row>
    <row r="37" customFormat="false" ht="18" hidden="false" customHeight="true" outlineLevel="0" collapsed="false">
      <c r="B37" s="42" t="n">
        <v>24</v>
      </c>
      <c r="C37" s="43" t="s">
        <v>74</v>
      </c>
      <c r="D37" s="44" t="n">
        <v>1</v>
      </c>
      <c r="E37" s="44" t="n">
        <v>0</v>
      </c>
      <c r="F37" s="45" t="n">
        <v>2093.97</v>
      </c>
      <c r="G37" s="46" t="n">
        <v>2093.97</v>
      </c>
      <c r="I37" s="42" t="n">
        <v>24</v>
      </c>
      <c r="J37" s="43" t="s">
        <v>63</v>
      </c>
      <c r="K37" s="44" t="n">
        <v>2</v>
      </c>
      <c r="L37" s="44" t="n">
        <v>0</v>
      </c>
      <c r="M37" s="45" t="n">
        <v>2725.8</v>
      </c>
      <c r="N37" s="46" t="n">
        <v>5451.6</v>
      </c>
      <c r="P37" s="42" t="n">
        <v>24</v>
      </c>
      <c r="Q37" s="43" t="s">
        <v>81</v>
      </c>
      <c r="R37" s="44" t="n">
        <v>1</v>
      </c>
      <c r="S37" s="44" t="n">
        <v>0</v>
      </c>
      <c r="T37" s="45" t="n">
        <v>2017.56</v>
      </c>
      <c r="U37" s="46" t="n">
        <v>2017.56</v>
      </c>
      <c r="W37" s="42" t="n">
        <v>24</v>
      </c>
      <c r="X37" s="43" t="s">
        <v>82</v>
      </c>
      <c r="Y37" s="44" t="n">
        <v>1</v>
      </c>
      <c r="Z37" s="44" t="n">
        <v>0</v>
      </c>
      <c r="AA37" s="45" t="n">
        <v>2756.72</v>
      </c>
      <c r="AB37" s="46" t="n">
        <v>2756.72</v>
      </c>
    </row>
    <row r="38" customFormat="false" ht="18" hidden="false" customHeight="true" outlineLevel="0" collapsed="false">
      <c r="B38" s="42" t="n">
        <v>25</v>
      </c>
      <c r="C38" s="43" t="s">
        <v>78</v>
      </c>
      <c r="D38" s="44" t="n">
        <v>5</v>
      </c>
      <c r="E38" s="44" t="n">
        <v>0</v>
      </c>
      <c r="F38" s="45" t="n">
        <v>1953.04</v>
      </c>
      <c r="G38" s="46" t="n">
        <v>9765.2</v>
      </c>
      <c r="I38" s="42" t="n">
        <v>25</v>
      </c>
      <c r="J38" s="43" t="s">
        <v>66</v>
      </c>
      <c r="K38" s="44" t="n">
        <v>10</v>
      </c>
      <c r="L38" s="44" t="n">
        <v>0</v>
      </c>
      <c r="M38" s="45" t="n">
        <v>1867.49</v>
      </c>
      <c r="N38" s="46" t="n">
        <v>18674.9</v>
      </c>
      <c r="P38" s="42" t="n">
        <v>25</v>
      </c>
      <c r="Q38" s="43" t="s">
        <v>83</v>
      </c>
      <c r="R38" s="44" t="n">
        <v>6</v>
      </c>
      <c r="S38" s="44" t="n">
        <v>0</v>
      </c>
      <c r="T38" s="45" t="n">
        <v>1455.84</v>
      </c>
      <c r="U38" s="46" t="n">
        <v>8735.04</v>
      </c>
      <c r="W38" s="42" t="n">
        <v>25</v>
      </c>
      <c r="X38" s="43" t="s">
        <v>84</v>
      </c>
      <c r="Y38" s="44" t="n">
        <v>1</v>
      </c>
      <c r="Z38" s="44" t="n">
        <v>0</v>
      </c>
      <c r="AA38" s="45" t="n">
        <v>2118.99</v>
      </c>
      <c r="AB38" s="46" t="n">
        <v>2118.99</v>
      </c>
    </row>
    <row r="39" customFormat="false" ht="18" hidden="false" customHeight="true" outlineLevel="0" collapsed="false">
      <c r="B39" s="42" t="n">
        <v>26</v>
      </c>
      <c r="C39" s="43" t="s">
        <v>85</v>
      </c>
      <c r="D39" s="44" t="n">
        <v>3</v>
      </c>
      <c r="E39" s="44" t="n">
        <v>0</v>
      </c>
      <c r="F39" s="45" t="n">
        <v>1636.34</v>
      </c>
      <c r="G39" s="46" t="n">
        <v>4909.02</v>
      </c>
      <c r="I39" s="42" t="n">
        <v>26</v>
      </c>
      <c r="J39" s="43" t="s">
        <v>69</v>
      </c>
      <c r="K39" s="44" t="n">
        <v>1</v>
      </c>
      <c r="L39" s="44" t="n">
        <v>0</v>
      </c>
      <c r="M39" s="45" t="n">
        <v>1233.92</v>
      </c>
      <c r="N39" s="46" t="n">
        <v>1233.92</v>
      </c>
      <c r="P39" s="42" t="n">
        <v>26</v>
      </c>
      <c r="Q39" s="43" t="s">
        <v>86</v>
      </c>
      <c r="R39" s="44" t="n">
        <v>1</v>
      </c>
      <c r="S39" s="44" t="n">
        <v>0</v>
      </c>
      <c r="T39" s="45" t="n">
        <v>2181.82</v>
      </c>
      <c r="U39" s="46" t="n">
        <v>2181.82</v>
      </c>
      <c r="W39" s="42" t="n">
        <v>26</v>
      </c>
      <c r="X39" s="43" t="s">
        <v>69</v>
      </c>
      <c r="Y39" s="44" t="n">
        <v>1</v>
      </c>
      <c r="Z39" s="44" t="n">
        <v>0</v>
      </c>
      <c r="AA39" s="45" t="n">
        <v>1233.92</v>
      </c>
      <c r="AB39" s="46" t="n">
        <v>1233.92</v>
      </c>
    </row>
    <row r="40" customFormat="false" ht="18" hidden="false" customHeight="true" outlineLevel="0" collapsed="false">
      <c r="B40" s="42" t="n">
        <v>27</v>
      </c>
      <c r="C40" s="43" t="s">
        <v>87</v>
      </c>
      <c r="D40" s="44" t="n">
        <v>3</v>
      </c>
      <c r="E40" s="44" t="n">
        <v>0</v>
      </c>
      <c r="F40" s="45" t="n">
        <v>2672.71</v>
      </c>
      <c r="G40" s="46" t="n">
        <v>8018.13</v>
      </c>
      <c r="I40" s="42" t="n">
        <v>27</v>
      </c>
      <c r="J40" s="43" t="s">
        <v>71</v>
      </c>
      <c r="K40" s="44" t="n">
        <v>4</v>
      </c>
      <c r="L40" s="44" t="n">
        <v>0</v>
      </c>
      <c r="M40" s="45" t="n">
        <v>1187.75</v>
      </c>
      <c r="N40" s="46" t="n">
        <v>4751</v>
      </c>
      <c r="P40" s="42" t="n">
        <v>27</v>
      </c>
      <c r="Q40" s="43" t="s">
        <v>88</v>
      </c>
      <c r="R40" s="44" t="n">
        <v>1</v>
      </c>
      <c r="S40" s="44" t="n">
        <v>0</v>
      </c>
      <c r="T40" s="45" t="n">
        <v>3439.88</v>
      </c>
      <c r="U40" s="46" t="n">
        <v>3439.88</v>
      </c>
      <c r="W40" s="42" t="n">
        <v>27</v>
      </c>
      <c r="X40" s="43" t="s">
        <v>71</v>
      </c>
      <c r="Y40" s="44" t="n">
        <v>4</v>
      </c>
      <c r="Z40" s="44" t="n">
        <v>0</v>
      </c>
      <c r="AA40" s="45" t="n">
        <v>1187.75</v>
      </c>
      <c r="AB40" s="46" t="n">
        <v>4751</v>
      </c>
    </row>
    <row r="41" customFormat="false" ht="18" hidden="false" customHeight="true" outlineLevel="0" collapsed="false">
      <c r="B41" s="42" t="n">
        <v>28</v>
      </c>
      <c r="C41" s="43" t="s">
        <v>89</v>
      </c>
      <c r="D41" s="44" t="n">
        <v>10</v>
      </c>
      <c r="E41" s="44" t="n">
        <v>0</v>
      </c>
      <c r="F41" s="45" t="n">
        <v>1809.6</v>
      </c>
      <c r="G41" s="46" t="n">
        <v>18096</v>
      </c>
      <c r="I41" s="42" t="n">
        <v>28</v>
      </c>
      <c r="J41" s="43" t="s">
        <v>74</v>
      </c>
      <c r="K41" s="44" t="n">
        <v>1</v>
      </c>
      <c r="L41" s="44" t="n">
        <v>0</v>
      </c>
      <c r="M41" s="45" t="n">
        <v>2093.97</v>
      </c>
      <c r="N41" s="46" t="n">
        <v>2093.97</v>
      </c>
      <c r="P41" s="47"/>
      <c r="Q41" s="48" t="s">
        <v>90</v>
      </c>
      <c r="R41" s="49" t="n">
        <f aca="false">SUM(R14:R40)</f>
        <v>50</v>
      </c>
      <c r="S41" s="49" t="n">
        <f aca="false">SUM(S14:S40)</f>
        <v>31</v>
      </c>
      <c r="T41" s="50"/>
      <c r="U41" s="51" t="n">
        <f aca="false">SUM(U14:U40)</f>
        <v>226034.1</v>
      </c>
      <c r="W41" s="42" t="n">
        <v>28</v>
      </c>
      <c r="X41" s="43" t="s">
        <v>74</v>
      </c>
      <c r="Y41" s="44" t="n">
        <v>1</v>
      </c>
      <c r="Z41" s="44" t="n">
        <v>0</v>
      </c>
      <c r="AA41" s="45" t="n">
        <v>2093.97</v>
      </c>
      <c r="AB41" s="46" t="n">
        <v>2093.97</v>
      </c>
    </row>
    <row r="42" customFormat="false" ht="18" hidden="false" customHeight="true" outlineLevel="0" collapsed="false">
      <c r="B42" s="42" t="n">
        <v>29</v>
      </c>
      <c r="C42" s="43" t="s">
        <v>81</v>
      </c>
      <c r="D42" s="44" t="n">
        <v>1</v>
      </c>
      <c r="E42" s="44" t="n">
        <v>0</v>
      </c>
      <c r="F42" s="45" t="n">
        <v>2017.56</v>
      </c>
      <c r="G42" s="46" t="n">
        <v>2017.56</v>
      </c>
      <c r="I42" s="42" t="n">
        <v>29</v>
      </c>
      <c r="J42" s="43" t="s">
        <v>87</v>
      </c>
      <c r="K42" s="44" t="n">
        <v>1</v>
      </c>
      <c r="L42" s="44" t="n">
        <v>0</v>
      </c>
      <c r="M42" s="45" t="n">
        <v>2672.71</v>
      </c>
      <c r="N42" s="46" t="n">
        <v>2672.71</v>
      </c>
      <c r="W42" s="42" t="n">
        <v>29</v>
      </c>
      <c r="X42" s="43" t="s">
        <v>78</v>
      </c>
      <c r="Y42" s="44" t="n">
        <v>8</v>
      </c>
      <c r="Z42" s="44" t="n">
        <v>0</v>
      </c>
      <c r="AA42" s="45" t="n">
        <v>1953.04</v>
      </c>
      <c r="AB42" s="46" t="n">
        <v>15624.32</v>
      </c>
    </row>
    <row r="43" customFormat="false" ht="18" hidden="false" customHeight="true" outlineLevel="0" collapsed="false">
      <c r="B43" s="42" t="n">
        <v>30</v>
      </c>
      <c r="C43" s="43" t="s">
        <v>91</v>
      </c>
      <c r="D43" s="44" t="n">
        <v>10</v>
      </c>
      <c r="E43" s="44" t="n">
        <v>0</v>
      </c>
      <c r="F43" s="45" t="n">
        <v>1455.84</v>
      </c>
      <c r="G43" s="46" t="n">
        <v>14558.4</v>
      </c>
      <c r="I43" s="42" t="n">
        <v>30</v>
      </c>
      <c r="J43" s="43" t="s">
        <v>81</v>
      </c>
      <c r="K43" s="44" t="n">
        <v>1</v>
      </c>
      <c r="L43" s="44" t="n">
        <v>0</v>
      </c>
      <c r="M43" s="45" t="n">
        <v>2017.56</v>
      </c>
      <c r="N43" s="46" t="n">
        <v>2017.56</v>
      </c>
      <c r="W43" s="42" t="n">
        <v>30</v>
      </c>
      <c r="X43" s="43" t="s">
        <v>87</v>
      </c>
      <c r="Y43" s="44" t="n">
        <v>1</v>
      </c>
      <c r="Z43" s="44" t="n">
        <v>0</v>
      </c>
      <c r="AA43" s="45" t="n">
        <v>2672.71</v>
      </c>
      <c r="AB43" s="46" t="n">
        <v>2672.71</v>
      </c>
    </row>
    <row r="44" customFormat="false" ht="18" hidden="false" customHeight="true" outlineLevel="0" collapsed="false">
      <c r="B44" s="42" t="n">
        <v>31</v>
      </c>
      <c r="C44" s="43" t="s">
        <v>92</v>
      </c>
      <c r="D44" s="44" t="n">
        <v>1</v>
      </c>
      <c r="E44" s="44" t="n">
        <v>0</v>
      </c>
      <c r="F44" s="45" t="n">
        <v>4279.99</v>
      </c>
      <c r="G44" s="46" t="n">
        <v>4279.99</v>
      </c>
      <c r="I44" s="42" t="n">
        <v>31</v>
      </c>
      <c r="J44" s="43" t="s">
        <v>83</v>
      </c>
      <c r="K44" s="44" t="n">
        <v>10</v>
      </c>
      <c r="L44" s="44" t="n">
        <v>0</v>
      </c>
      <c r="M44" s="45" t="n">
        <v>1455.84</v>
      </c>
      <c r="N44" s="46" t="n">
        <v>14558.4</v>
      </c>
      <c r="W44" s="42" t="n">
        <v>31</v>
      </c>
      <c r="X44" s="43" t="s">
        <v>81</v>
      </c>
      <c r="Y44" s="44" t="n">
        <v>1</v>
      </c>
      <c r="Z44" s="44" t="n">
        <v>0</v>
      </c>
      <c r="AA44" s="45" t="n">
        <v>2017.56</v>
      </c>
      <c r="AB44" s="46" t="n">
        <v>2017.56</v>
      </c>
    </row>
    <row r="45" customFormat="false" ht="18" hidden="false" customHeight="true" outlineLevel="0" collapsed="false">
      <c r="B45" s="42" t="n">
        <v>32</v>
      </c>
      <c r="C45" s="43" t="s">
        <v>88</v>
      </c>
      <c r="D45" s="44" t="n">
        <v>1</v>
      </c>
      <c r="E45" s="44" t="n">
        <v>0</v>
      </c>
      <c r="F45" s="45" t="n">
        <v>3439.88</v>
      </c>
      <c r="G45" s="46" t="n">
        <v>3439.88</v>
      </c>
      <c r="I45" s="47"/>
      <c r="J45" s="48" t="s">
        <v>90</v>
      </c>
      <c r="K45" s="49" t="n">
        <f aca="false">SUM(K14:K44)</f>
        <v>52</v>
      </c>
      <c r="L45" s="49" t="n">
        <f aca="false">SUM(L14:L44)</f>
        <v>57</v>
      </c>
      <c r="M45" s="50"/>
      <c r="N45" s="51" t="n">
        <f aca="false">SUM(N14:N44)</f>
        <v>231759.48</v>
      </c>
      <c r="W45" s="42" t="n">
        <v>32</v>
      </c>
      <c r="X45" s="43" t="s">
        <v>83</v>
      </c>
      <c r="Y45" s="44" t="n">
        <v>10</v>
      </c>
      <c r="Z45" s="44" t="n">
        <v>0</v>
      </c>
      <c r="AA45" s="45" t="n">
        <v>1455.84</v>
      </c>
      <c r="AB45" s="46" t="n">
        <v>14558.4</v>
      </c>
    </row>
    <row r="46" customFormat="false" ht="18" hidden="false" customHeight="true" outlineLevel="0" collapsed="false">
      <c r="B46" s="47"/>
      <c r="C46" s="48" t="s">
        <v>90</v>
      </c>
      <c r="D46" s="49" t="n">
        <f aca="false">SUM(D14:D45)</f>
        <v>63</v>
      </c>
      <c r="E46" s="49" t="n">
        <f aca="false">SUM(E14:E45)</f>
        <v>81</v>
      </c>
      <c r="F46" s="50"/>
      <c r="G46" s="51" t="n">
        <f aca="false">SUM(G14:G45)</f>
        <v>291587.08</v>
      </c>
      <c r="W46" s="42" t="n">
        <v>33</v>
      </c>
      <c r="X46" s="43" t="s">
        <v>92</v>
      </c>
      <c r="Y46" s="44" t="n">
        <v>1</v>
      </c>
      <c r="Z46" s="44" t="n">
        <v>0</v>
      </c>
      <c r="AA46" s="45" t="n">
        <v>4279.99</v>
      </c>
      <c r="AB46" s="46" t="n">
        <v>4279.99</v>
      </c>
    </row>
    <row r="47" customFormat="false" ht="18" hidden="false" customHeight="true" outlineLevel="0" collapsed="false">
      <c r="W47" s="47"/>
      <c r="X47" s="48" t="s">
        <v>90</v>
      </c>
      <c r="Y47" s="49" t="n">
        <f aca="false">SUM(Y14:Y46)</f>
        <v>70</v>
      </c>
      <c r="Z47" s="49" t="n">
        <f aca="false">SUM(Z14:Z46)</f>
        <v>57</v>
      </c>
      <c r="AA47" s="50"/>
      <c r="AB47" s="51" t="n">
        <f aca="false">SUM(AB14:AB46)</f>
        <v>340148.12</v>
      </c>
    </row>
  </sheetData>
  <mergeCells count="64">
    <mergeCell ref="B3:G3"/>
    <mergeCell ref="I3:N3"/>
    <mergeCell ref="P3:U3"/>
    <mergeCell ref="W3:AB3"/>
    <mergeCell ref="B4:G4"/>
    <mergeCell ref="I4:N4"/>
    <mergeCell ref="P4:U4"/>
    <mergeCell ref="W4:AB4"/>
    <mergeCell ref="B5:G5"/>
    <mergeCell ref="I5:N5"/>
    <mergeCell ref="P5:U5"/>
    <mergeCell ref="W5:AB5"/>
    <mergeCell ref="B6:C6"/>
    <mergeCell ref="E6:G6"/>
    <mergeCell ref="I6:J6"/>
    <mergeCell ref="L6:N6"/>
    <mergeCell ref="P6:Q6"/>
    <mergeCell ref="S6:U6"/>
    <mergeCell ref="W6:X6"/>
    <mergeCell ref="Z6:AB6"/>
    <mergeCell ref="B7:G7"/>
    <mergeCell ref="I7:N7"/>
    <mergeCell ref="P7:U7"/>
    <mergeCell ref="W7:AB7"/>
    <mergeCell ref="B8:C8"/>
    <mergeCell ref="D8:G8"/>
    <mergeCell ref="I8:J8"/>
    <mergeCell ref="K8:N8"/>
    <mergeCell ref="P8:Q8"/>
    <mergeCell ref="R8:U8"/>
    <mergeCell ref="W8:X8"/>
    <mergeCell ref="Y8:AB8"/>
    <mergeCell ref="B9:C9"/>
    <mergeCell ref="D9:G9"/>
    <mergeCell ref="I9:J9"/>
    <mergeCell ref="K9:N9"/>
    <mergeCell ref="P9:Q9"/>
    <mergeCell ref="R9:U9"/>
    <mergeCell ref="W9:X9"/>
    <mergeCell ref="Y9:AB9"/>
    <mergeCell ref="B10:C10"/>
    <mergeCell ref="D10:G10"/>
    <mergeCell ref="I10:J10"/>
    <mergeCell ref="K10:N10"/>
    <mergeCell ref="P10:Q10"/>
    <mergeCell ref="R10:U10"/>
    <mergeCell ref="W10:X10"/>
    <mergeCell ref="Y10:AB10"/>
    <mergeCell ref="B11:C11"/>
    <mergeCell ref="D11:G11"/>
    <mergeCell ref="I11:J11"/>
    <mergeCell ref="K11:N11"/>
    <mergeCell ref="P11:Q11"/>
    <mergeCell ref="R11:U11"/>
    <mergeCell ref="W11:X11"/>
    <mergeCell ref="Y11:AB11"/>
    <mergeCell ref="B12:C12"/>
    <mergeCell ref="D12:G12"/>
    <mergeCell ref="I12:J12"/>
    <mergeCell ref="K12:N12"/>
    <mergeCell ref="P12:Q12"/>
    <mergeCell ref="R12:U12"/>
    <mergeCell ref="W12:X12"/>
    <mergeCell ref="Y12:A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D31"/>
  <sheetViews>
    <sheetView showFormulas="false" showGridLines="false" showRowColHeaders="true" showZeros="true" rightToLeft="false" tabSelected="false" showOutlineSymbols="true" defaultGridColor="true" view="normal" topLeftCell="A1" colorId="64" zoomScale="63" zoomScaleNormal="63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.09"/>
    <col collapsed="false" customWidth="true" hidden="false" outlineLevel="0" max="3" min="3" style="0" width="71.63"/>
    <col collapsed="false" customWidth="true" hidden="false" outlineLevel="0" max="4" min="4" style="0" width="7.91"/>
    <col collapsed="false" customWidth="true" hidden="false" outlineLevel="0" max="5" min="5" style="0" width="7.45"/>
    <col collapsed="false" customWidth="true" hidden="false" outlineLevel="0" max="6" min="6" style="0" width="15.54"/>
    <col collapsed="false" customWidth="true" hidden="false" outlineLevel="0" max="7" min="7" style="0" width="20.09"/>
    <col collapsed="false" customWidth="true" hidden="false" outlineLevel="0" max="8" min="8" style="0" width="3"/>
    <col collapsed="false" customWidth="true" hidden="false" outlineLevel="0" max="9" min="9" style="0" width="8.09"/>
    <col collapsed="false" customWidth="true" hidden="false" outlineLevel="0" max="10" min="10" style="0" width="71.63"/>
    <col collapsed="false" customWidth="true" hidden="false" outlineLevel="0" max="11" min="11" style="0" width="7.91"/>
    <col collapsed="false" customWidth="true" hidden="false" outlineLevel="0" max="12" min="12" style="0" width="7.45"/>
    <col collapsed="false" customWidth="true" hidden="false" outlineLevel="0" max="13" min="13" style="0" width="15.54"/>
    <col collapsed="false" customWidth="true" hidden="false" outlineLevel="0" max="14" min="14" style="0" width="20.09"/>
    <col collapsed="false" customWidth="true" hidden="false" outlineLevel="0" max="15" min="15" style="0" width="3"/>
    <col collapsed="false" customWidth="true" hidden="false" outlineLevel="0" max="16" min="16" style="0" width="8.09"/>
    <col collapsed="false" customWidth="true" hidden="false" outlineLevel="0" max="17" min="17" style="0" width="71.63"/>
    <col collapsed="false" customWidth="true" hidden="false" outlineLevel="0" max="18" min="18" style="0" width="7.91"/>
    <col collapsed="false" customWidth="true" hidden="false" outlineLevel="0" max="19" min="19" style="0" width="7.45"/>
    <col collapsed="false" customWidth="true" hidden="false" outlineLevel="0" max="20" min="20" style="0" width="15.54"/>
    <col collapsed="false" customWidth="true" hidden="false" outlineLevel="0" max="21" min="21" style="0" width="20.09"/>
    <col collapsed="false" customWidth="true" hidden="false" outlineLevel="0" max="22" min="22" style="0" width="3"/>
    <col collapsed="false" customWidth="true" hidden="false" outlineLevel="0" max="23" min="23" style="0" width="8.09"/>
    <col collapsed="false" customWidth="true" hidden="false" outlineLevel="0" max="24" min="24" style="0" width="71.63"/>
    <col collapsed="false" customWidth="true" hidden="false" outlineLevel="0" max="25" min="25" style="0" width="7.91"/>
    <col collapsed="false" customWidth="true" hidden="false" outlineLevel="0" max="26" min="26" style="0" width="7.45"/>
    <col collapsed="false" customWidth="true" hidden="false" outlineLevel="0" max="27" min="27" style="0" width="15.54"/>
    <col collapsed="false" customWidth="true" hidden="false" outlineLevel="0" max="28" min="28" style="0" width="20.09"/>
    <col collapsed="false" customWidth="true" hidden="false" outlineLevel="0" max="29" min="29" style="0" width="3"/>
    <col collapsed="false" customWidth="true" hidden="false" outlineLevel="0" max="30" min="30" style="0" width="8.09"/>
    <col collapsed="false" customWidth="true" hidden="false" outlineLevel="0" max="31" min="31" style="0" width="71.63"/>
    <col collapsed="false" customWidth="true" hidden="false" outlineLevel="0" max="32" min="32" style="0" width="7.91"/>
    <col collapsed="false" customWidth="true" hidden="false" outlineLevel="0" max="33" min="33" style="0" width="7.45"/>
    <col collapsed="false" customWidth="true" hidden="false" outlineLevel="0" max="34" min="34" style="0" width="15.54"/>
    <col collapsed="false" customWidth="true" hidden="false" outlineLevel="0" max="35" min="35" style="0" width="20.09"/>
    <col collapsed="false" customWidth="true" hidden="false" outlineLevel="0" max="36" min="36" style="0" width="3"/>
    <col collapsed="false" customWidth="true" hidden="false" outlineLevel="0" max="37" min="37" style="0" width="8.09"/>
    <col collapsed="false" customWidth="true" hidden="false" outlineLevel="0" max="38" min="38" style="0" width="71.63"/>
    <col collapsed="false" customWidth="true" hidden="false" outlineLevel="0" max="39" min="39" style="0" width="7.91"/>
    <col collapsed="false" customWidth="true" hidden="false" outlineLevel="0" max="40" min="40" style="0" width="7.45"/>
    <col collapsed="false" customWidth="true" hidden="false" outlineLevel="0" max="41" min="41" style="0" width="15.54"/>
    <col collapsed="false" customWidth="true" hidden="false" outlineLevel="0" max="42" min="42" style="0" width="20.09"/>
    <col collapsed="false" customWidth="true" hidden="false" outlineLevel="0" max="43" min="43" style="0" width="3"/>
    <col collapsed="false" customWidth="true" hidden="false" outlineLevel="0" max="44" min="44" style="0" width="8.09"/>
    <col collapsed="false" customWidth="true" hidden="false" outlineLevel="0" max="45" min="45" style="0" width="71.63"/>
    <col collapsed="false" customWidth="true" hidden="false" outlineLevel="0" max="46" min="46" style="0" width="7.91"/>
    <col collapsed="false" customWidth="true" hidden="false" outlineLevel="0" max="47" min="47" style="0" width="7.45"/>
    <col collapsed="false" customWidth="true" hidden="false" outlineLevel="0" max="48" min="48" style="0" width="15.54"/>
    <col collapsed="false" customWidth="true" hidden="false" outlineLevel="0" max="49" min="49" style="0" width="20.09"/>
    <col collapsed="false" customWidth="true" hidden="false" outlineLevel="0" max="50" min="50" style="0" width="3"/>
    <col collapsed="false" customWidth="true" hidden="false" outlineLevel="0" max="51" min="51" style="0" width="8.09"/>
    <col collapsed="false" customWidth="true" hidden="false" outlineLevel="0" max="52" min="52" style="0" width="71.63"/>
    <col collapsed="false" customWidth="true" hidden="false" outlineLevel="0" max="53" min="53" style="0" width="7.91"/>
    <col collapsed="false" customWidth="true" hidden="false" outlineLevel="0" max="54" min="54" style="0" width="7.45"/>
    <col collapsed="false" customWidth="true" hidden="false" outlineLevel="0" max="55" min="55" style="0" width="15.54"/>
    <col collapsed="false" customWidth="true" hidden="false" outlineLevel="0" max="56" min="56" style="0" width="20.09"/>
    <col collapsed="false" customWidth="true" hidden="false" outlineLevel="0" max="57" min="57" style="0" width="3"/>
  </cols>
  <sheetData>
    <row r="3" customFormat="false" ht="18" hidden="false" customHeight="true" outlineLevel="0" collapsed="false">
      <c r="B3" s="22" t="s">
        <v>9</v>
      </c>
      <c r="C3" s="22"/>
      <c r="D3" s="22"/>
      <c r="E3" s="22"/>
      <c r="F3" s="22"/>
      <c r="G3" s="22"/>
      <c r="I3" s="22" t="s">
        <v>9</v>
      </c>
      <c r="J3" s="22"/>
      <c r="K3" s="22"/>
      <c r="L3" s="22"/>
      <c r="M3" s="22"/>
      <c r="N3" s="22"/>
      <c r="P3" s="22" t="s">
        <v>9</v>
      </c>
      <c r="Q3" s="22"/>
      <c r="R3" s="22"/>
      <c r="S3" s="22"/>
      <c r="T3" s="22"/>
      <c r="U3" s="22"/>
      <c r="W3" s="22" t="s">
        <v>9</v>
      </c>
      <c r="X3" s="22"/>
      <c r="Y3" s="22"/>
      <c r="Z3" s="22"/>
      <c r="AA3" s="22"/>
      <c r="AB3" s="22"/>
      <c r="AD3" s="22" t="s">
        <v>9</v>
      </c>
      <c r="AE3" s="22"/>
      <c r="AF3" s="22"/>
      <c r="AG3" s="22"/>
      <c r="AH3" s="22"/>
      <c r="AI3" s="22"/>
      <c r="AK3" s="22" t="s">
        <v>9</v>
      </c>
      <c r="AL3" s="22"/>
      <c r="AM3" s="22"/>
      <c r="AN3" s="22"/>
      <c r="AO3" s="22"/>
      <c r="AP3" s="22"/>
      <c r="AR3" s="22" t="s">
        <v>9</v>
      </c>
      <c r="AS3" s="22"/>
      <c r="AT3" s="22"/>
      <c r="AU3" s="22"/>
      <c r="AV3" s="22"/>
      <c r="AW3" s="22"/>
      <c r="AY3" s="22" t="s">
        <v>9</v>
      </c>
      <c r="AZ3" s="22"/>
      <c r="BA3" s="22"/>
      <c r="BB3" s="22"/>
      <c r="BC3" s="22"/>
      <c r="BD3" s="22"/>
    </row>
    <row r="4" customFormat="false" ht="18" hidden="false" customHeight="true" outlineLevel="0" collapsed="false">
      <c r="B4" s="23" t="s">
        <v>10</v>
      </c>
      <c r="C4" s="23"/>
      <c r="D4" s="23"/>
      <c r="E4" s="23"/>
      <c r="F4" s="23"/>
      <c r="G4" s="23"/>
      <c r="I4" s="23" t="s">
        <v>10</v>
      </c>
      <c r="J4" s="23"/>
      <c r="K4" s="23"/>
      <c r="L4" s="23"/>
      <c r="M4" s="23"/>
      <c r="N4" s="23"/>
      <c r="P4" s="23" t="s">
        <v>10</v>
      </c>
      <c r="Q4" s="23"/>
      <c r="R4" s="23"/>
      <c r="S4" s="23"/>
      <c r="T4" s="23"/>
      <c r="U4" s="23"/>
      <c r="W4" s="23" t="s">
        <v>10</v>
      </c>
      <c r="X4" s="23"/>
      <c r="Y4" s="23"/>
      <c r="Z4" s="23"/>
      <c r="AA4" s="23"/>
      <c r="AB4" s="23"/>
      <c r="AD4" s="23" t="s">
        <v>10</v>
      </c>
      <c r="AE4" s="23"/>
      <c r="AF4" s="23"/>
      <c r="AG4" s="23"/>
      <c r="AH4" s="23"/>
      <c r="AI4" s="23"/>
      <c r="AK4" s="23" t="s">
        <v>10</v>
      </c>
      <c r="AL4" s="23"/>
      <c r="AM4" s="23"/>
      <c r="AN4" s="23"/>
      <c r="AO4" s="23"/>
      <c r="AP4" s="23"/>
      <c r="AR4" s="23" t="s">
        <v>10</v>
      </c>
      <c r="AS4" s="23"/>
      <c r="AT4" s="23"/>
      <c r="AU4" s="23"/>
      <c r="AV4" s="23"/>
      <c r="AW4" s="23"/>
      <c r="AY4" s="23" t="s">
        <v>10</v>
      </c>
      <c r="AZ4" s="23"/>
      <c r="BA4" s="23"/>
      <c r="BB4" s="23"/>
      <c r="BC4" s="23"/>
      <c r="BD4" s="23"/>
    </row>
    <row r="5" customFormat="false" ht="18" hidden="false" customHeight="true" outlineLevel="0" collapsed="false">
      <c r="B5" s="24" t="s">
        <v>11</v>
      </c>
      <c r="C5" s="24"/>
      <c r="D5" s="24"/>
      <c r="E5" s="24"/>
      <c r="F5" s="24"/>
      <c r="G5" s="24"/>
      <c r="I5" s="24" t="s">
        <v>11</v>
      </c>
      <c r="J5" s="24"/>
      <c r="K5" s="24"/>
      <c r="L5" s="24"/>
      <c r="M5" s="24"/>
      <c r="N5" s="24"/>
      <c r="P5" s="24" t="s">
        <v>11</v>
      </c>
      <c r="Q5" s="24"/>
      <c r="R5" s="24"/>
      <c r="S5" s="24"/>
      <c r="T5" s="24"/>
      <c r="U5" s="24"/>
      <c r="W5" s="24" t="s">
        <v>11</v>
      </c>
      <c r="X5" s="24"/>
      <c r="Y5" s="24"/>
      <c r="Z5" s="24"/>
      <c r="AA5" s="24"/>
      <c r="AB5" s="24"/>
      <c r="AD5" s="24" t="s">
        <v>11</v>
      </c>
      <c r="AE5" s="24"/>
      <c r="AF5" s="24"/>
      <c r="AG5" s="24"/>
      <c r="AH5" s="24"/>
      <c r="AI5" s="24"/>
      <c r="AK5" s="24" t="s">
        <v>11</v>
      </c>
      <c r="AL5" s="24"/>
      <c r="AM5" s="24"/>
      <c r="AN5" s="24"/>
      <c r="AO5" s="24"/>
      <c r="AP5" s="24"/>
      <c r="AR5" s="24" t="s">
        <v>11</v>
      </c>
      <c r="AS5" s="24"/>
      <c r="AT5" s="24"/>
      <c r="AU5" s="24"/>
      <c r="AV5" s="24"/>
      <c r="AW5" s="24"/>
      <c r="AY5" s="24" t="s">
        <v>11</v>
      </c>
      <c r="AZ5" s="24"/>
      <c r="BA5" s="24"/>
      <c r="BB5" s="24"/>
      <c r="BC5" s="24"/>
      <c r="BD5" s="24"/>
    </row>
    <row r="6" customFormat="false" ht="18" hidden="false" customHeight="true" outlineLevel="0" collapsed="false">
      <c r="B6" s="25" t="s">
        <v>93</v>
      </c>
      <c r="C6" s="25"/>
      <c r="D6" s="26" t="s">
        <v>13</v>
      </c>
      <c r="E6" s="27" t="n">
        <v>46243</v>
      </c>
      <c r="F6" s="27"/>
      <c r="G6" s="27"/>
      <c r="I6" s="25" t="s">
        <v>94</v>
      </c>
      <c r="J6" s="25"/>
      <c r="K6" s="26" t="s">
        <v>13</v>
      </c>
      <c r="L6" s="27" t="n">
        <v>46246</v>
      </c>
      <c r="M6" s="27"/>
      <c r="N6" s="27"/>
      <c r="P6" s="25" t="s">
        <v>95</v>
      </c>
      <c r="Q6" s="25"/>
      <c r="R6" s="26" t="s">
        <v>13</v>
      </c>
      <c r="S6" s="27" t="n">
        <v>46249</v>
      </c>
      <c r="T6" s="27"/>
      <c r="U6" s="27"/>
      <c r="W6" s="25" t="s">
        <v>96</v>
      </c>
      <c r="X6" s="25"/>
      <c r="Y6" s="26" t="s">
        <v>13</v>
      </c>
      <c r="Z6" s="27" t="n">
        <v>46252</v>
      </c>
      <c r="AA6" s="27"/>
      <c r="AB6" s="27"/>
      <c r="AD6" s="25" t="s">
        <v>97</v>
      </c>
      <c r="AE6" s="25"/>
      <c r="AF6" s="26" t="s">
        <v>13</v>
      </c>
      <c r="AG6" s="27" t="n">
        <v>46255</v>
      </c>
      <c r="AH6" s="27"/>
      <c r="AI6" s="27"/>
      <c r="AK6" s="25" t="s">
        <v>98</v>
      </c>
      <c r="AL6" s="25"/>
      <c r="AM6" s="26" t="s">
        <v>13</v>
      </c>
      <c r="AN6" s="27" t="n">
        <v>46258</v>
      </c>
      <c r="AO6" s="27"/>
      <c r="AP6" s="27"/>
      <c r="AR6" s="25" t="s">
        <v>99</v>
      </c>
      <c r="AS6" s="25"/>
      <c r="AT6" s="26" t="s">
        <v>13</v>
      </c>
      <c r="AU6" s="27" t="n">
        <v>46261</v>
      </c>
      <c r="AV6" s="27"/>
      <c r="AW6" s="27"/>
      <c r="AY6" s="25" t="s">
        <v>100</v>
      </c>
      <c r="AZ6" s="25"/>
      <c r="BA6" s="26" t="s">
        <v>13</v>
      </c>
      <c r="BB6" s="27" t="n">
        <v>46264</v>
      </c>
      <c r="BC6" s="27"/>
      <c r="BD6" s="27"/>
    </row>
    <row r="7" customFormat="false" ht="18" hidden="false" customHeight="true" outlineLevel="0" collapsed="false">
      <c r="B7" s="28"/>
      <c r="C7" s="28"/>
      <c r="D7" s="28"/>
      <c r="E7" s="28"/>
      <c r="F7" s="28"/>
      <c r="G7" s="28"/>
      <c r="I7" s="28"/>
      <c r="J7" s="28"/>
      <c r="K7" s="28"/>
      <c r="L7" s="28"/>
      <c r="M7" s="28"/>
      <c r="N7" s="28"/>
      <c r="P7" s="28"/>
      <c r="Q7" s="28"/>
      <c r="R7" s="28"/>
      <c r="S7" s="28"/>
      <c r="T7" s="28"/>
      <c r="U7" s="28"/>
      <c r="W7" s="28"/>
      <c r="X7" s="28"/>
      <c r="Y7" s="28"/>
      <c r="Z7" s="28"/>
      <c r="AA7" s="28"/>
      <c r="AB7" s="28"/>
      <c r="AD7" s="28"/>
      <c r="AE7" s="28"/>
      <c r="AF7" s="28"/>
      <c r="AG7" s="28"/>
      <c r="AH7" s="28"/>
      <c r="AI7" s="28"/>
      <c r="AK7" s="28"/>
      <c r="AL7" s="28"/>
      <c r="AM7" s="28"/>
      <c r="AN7" s="28"/>
      <c r="AO7" s="28"/>
      <c r="AP7" s="28"/>
      <c r="AR7" s="28"/>
      <c r="AS7" s="28"/>
      <c r="AT7" s="28"/>
      <c r="AU7" s="28"/>
      <c r="AV7" s="28"/>
      <c r="AW7" s="28"/>
      <c r="AY7" s="28"/>
      <c r="AZ7" s="28"/>
      <c r="BA7" s="28"/>
      <c r="BB7" s="28"/>
      <c r="BC7" s="28"/>
      <c r="BD7" s="28"/>
    </row>
    <row r="8" customFormat="false" ht="18" hidden="false" customHeight="true" outlineLevel="0" collapsed="false">
      <c r="B8" s="25" t="s">
        <v>17</v>
      </c>
      <c r="C8" s="25"/>
      <c r="D8" s="29" t="s">
        <v>18</v>
      </c>
      <c r="E8" s="29"/>
      <c r="F8" s="29"/>
      <c r="G8" s="29"/>
      <c r="I8" s="25" t="s">
        <v>17</v>
      </c>
      <c r="J8" s="25"/>
      <c r="K8" s="29" t="s">
        <v>18</v>
      </c>
      <c r="L8" s="29"/>
      <c r="M8" s="29"/>
      <c r="N8" s="29"/>
      <c r="P8" s="25" t="s">
        <v>17</v>
      </c>
      <c r="Q8" s="25"/>
      <c r="R8" s="29" t="s">
        <v>18</v>
      </c>
      <c r="S8" s="29"/>
      <c r="T8" s="29"/>
      <c r="U8" s="29"/>
      <c r="W8" s="25" t="s">
        <v>17</v>
      </c>
      <c r="X8" s="25"/>
      <c r="Y8" s="29" t="s">
        <v>18</v>
      </c>
      <c r="Z8" s="29"/>
      <c r="AA8" s="29"/>
      <c r="AB8" s="29"/>
      <c r="AD8" s="25" t="s">
        <v>17</v>
      </c>
      <c r="AE8" s="25"/>
      <c r="AF8" s="29" t="s">
        <v>18</v>
      </c>
      <c r="AG8" s="29"/>
      <c r="AH8" s="29"/>
      <c r="AI8" s="29"/>
      <c r="AK8" s="25" t="s">
        <v>17</v>
      </c>
      <c r="AL8" s="25"/>
      <c r="AM8" s="29" t="s">
        <v>18</v>
      </c>
      <c r="AN8" s="29"/>
      <c r="AO8" s="29"/>
      <c r="AP8" s="29"/>
      <c r="AR8" s="25" t="s">
        <v>17</v>
      </c>
      <c r="AS8" s="25"/>
      <c r="AT8" s="29" t="s">
        <v>18</v>
      </c>
      <c r="AU8" s="29"/>
      <c r="AV8" s="29"/>
      <c r="AW8" s="29"/>
      <c r="AY8" s="25" t="s">
        <v>17</v>
      </c>
      <c r="AZ8" s="25"/>
      <c r="BA8" s="29" t="s">
        <v>18</v>
      </c>
      <c r="BB8" s="29"/>
      <c r="BC8" s="29"/>
      <c r="BD8" s="29"/>
    </row>
    <row r="9" customFormat="false" ht="18" hidden="false" customHeight="true" outlineLevel="0" collapsed="false">
      <c r="B9" s="30" t="s">
        <v>19</v>
      </c>
      <c r="C9" s="30"/>
      <c r="D9" s="31" t="s">
        <v>20</v>
      </c>
      <c r="E9" s="31"/>
      <c r="F9" s="31"/>
      <c r="G9" s="31"/>
      <c r="I9" s="30" t="s">
        <v>19</v>
      </c>
      <c r="J9" s="30"/>
      <c r="K9" s="31" t="s">
        <v>20</v>
      </c>
      <c r="L9" s="31"/>
      <c r="M9" s="31"/>
      <c r="N9" s="31"/>
      <c r="P9" s="30" t="s">
        <v>19</v>
      </c>
      <c r="Q9" s="30"/>
      <c r="R9" s="31" t="s">
        <v>20</v>
      </c>
      <c r="S9" s="31"/>
      <c r="T9" s="31"/>
      <c r="U9" s="31"/>
      <c r="W9" s="30" t="s">
        <v>19</v>
      </c>
      <c r="X9" s="30"/>
      <c r="Y9" s="31" t="s">
        <v>20</v>
      </c>
      <c r="Z9" s="31"/>
      <c r="AA9" s="31"/>
      <c r="AB9" s="31"/>
      <c r="AD9" s="30" t="s">
        <v>19</v>
      </c>
      <c r="AE9" s="30"/>
      <c r="AF9" s="31" t="s">
        <v>20</v>
      </c>
      <c r="AG9" s="31"/>
      <c r="AH9" s="31"/>
      <c r="AI9" s="31"/>
      <c r="AK9" s="30" t="s">
        <v>19</v>
      </c>
      <c r="AL9" s="30"/>
      <c r="AM9" s="31" t="s">
        <v>20</v>
      </c>
      <c r="AN9" s="31"/>
      <c r="AO9" s="31"/>
      <c r="AP9" s="31"/>
      <c r="AR9" s="30" t="s">
        <v>19</v>
      </c>
      <c r="AS9" s="30"/>
      <c r="AT9" s="31" t="s">
        <v>20</v>
      </c>
      <c r="AU9" s="31"/>
      <c r="AV9" s="31"/>
      <c r="AW9" s="31"/>
      <c r="AY9" s="30" t="s">
        <v>19</v>
      </c>
      <c r="AZ9" s="30"/>
      <c r="BA9" s="31" t="s">
        <v>20</v>
      </c>
      <c r="BB9" s="31"/>
      <c r="BC9" s="31"/>
      <c r="BD9" s="31"/>
    </row>
    <row r="10" customFormat="false" ht="18" hidden="false" customHeight="true" outlineLevel="0" collapsed="false">
      <c r="B10" s="30" t="s">
        <v>21</v>
      </c>
      <c r="C10" s="30"/>
      <c r="D10" s="31" t="s">
        <v>21</v>
      </c>
      <c r="E10" s="31"/>
      <c r="F10" s="31"/>
      <c r="G10" s="31"/>
      <c r="I10" s="30" t="s">
        <v>21</v>
      </c>
      <c r="J10" s="30"/>
      <c r="K10" s="31" t="s">
        <v>21</v>
      </c>
      <c r="L10" s="31"/>
      <c r="M10" s="31"/>
      <c r="N10" s="31"/>
      <c r="P10" s="30" t="s">
        <v>21</v>
      </c>
      <c r="Q10" s="30"/>
      <c r="R10" s="31" t="s">
        <v>21</v>
      </c>
      <c r="S10" s="31"/>
      <c r="T10" s="31"/>
      <c r="U10" s="31"/>
      <c r="W10" s="30" t="s">
        <v>21</v>
      </c>
      <c r="X10" s="30"/>
      <c r="Y10" s="31" t="s">
        <v>21</v>
      </c>
      <c r="Z10" s="31"/>
      <c r="AA10" s="31"/>
      <c r="AB10" s="31"/>
      <c r="AD10" s="30" t="s">
        <v>21</v>
      </c>
      <c r="AE10" s="30"/>
      <c r="AF10" s="31" t="s">
        <v>21</v>
      </c>
      <c r="AG10" s="31"/>
      <c r="AH10" s="31"/>
      <c r="AI10" s="31"/>
      <c r="AK10" s="30" t="s">
        <v>21</v>
      </c>
      <c r="AL10" s="30"/>
      <c r="AM10" s="31" t="s">
        <v>21</v>
      </c>
      <c r="AN10" s="31"/>
      <c r="AO10" s="31"/>
      <c r="AP10" s="31"/>
      <c r="AR10" s="30" t="s">
        <v>21</v>
      </c>
      <c r="AS10" s="30"/>
      <c r="AT10" s="31" t="s">
        <v>21</v>
      </c>
      <c r="AU10" s="31"/>
      <c r="AV10" s="31"/>
      <c r="AW10" s="31"/>
      <c r="AY10" s="30" t="s">
        <v>21</v>
      </c>
      <c r="AZ10" s="30"/>
      <c r="BA10" s="31" t="s">
        <v>21</v>
      </c>
      <c r="BB10" s="31"/>
      <c r="BC10" s="31"/>
      <c r="BD10" s="31"/>
    </row>
    <row r="11" customFormat="false" ht="18" hidden="false" customHeight="true" outlineLevel="0" collapsed="false">
      <c r="B11" s="30" t="s">
        <v>22</v>
      </c>
      <c r="C11" s="30"/>
      <c r="D11" s="31" t="s">
        <v>22</v>
      </c>
      <c r="E11" s="31"/>
      <c r="F11" s="31"/>
      <c r="G11" s="31"/>
      <c r="I11" s="30" t="s">
        <v>22</v>
      </c>
      <c r="J11" s="30"/>
      <c r="K11" s="31" t="s">
        <v>22</v>
      </c>
      <c r="L11" s="31"/>
      <c r="M11" s="31"/>
      <c r="N11" s="31"/>
      <c r="P11" s="30" t="s">
        <v>22</v>
      </c>
      <c r="Q11" s="30"/>
      <c r="R11" s="31" t="s">
        <v>22</v>
      </c>
      <c r="S11" s="31"/>
      <c r="T11" s="31"/>
      <c r="U11" s="31"/>
      <c r="W11" s="30" t="s">
        <v>22</v>
      </c>
      <c r="X11" s="30"/>
      <c r="Y11" s="31" t="s">
        <v>22</v>
      </c>
      <c r="Z11" s="31"/>
      <c r="AA11" s="31"/>
      <c r="AB11" s="31"/>
      <c r="AD11" s="30" t="s">
        <v>22</v>
      </c>
      <c r="AE11" s="30"/>
      <c r="AF11" s="31" t="s">
        <v>22</v>
      </c>
      <c r="AG11" s="31"/>
      <c r="AH11" s="31"/>
      <c r="AI11" s="31"/>
      <c r="AK11" s="30" t="s">
        <v>22</v>
      </c>
      <c r="AL11" s="30"/>
      <c r="AM11" s="31" t="s">
        <v>22</v>
      </c>
      <c r="AN11" s="31"/>
      <c r="AO11" s="31"/>
      <c r="AP11" s="31"/>
      <c r="AR11" s="30" t="s">
        <v>22</v>
      </c>
      <c r="AS11" s="30"/>
      <c r="AT11" s="31" t="s">
        <v>22</v>
      </c>
      <c r="AU11" s="31"/>
      <c r="AV11" s="31"/>
      <c r="AW11" s="31"/>
      <c r="AY11" s="30" t="s">
        <v>22</v>
      </c>
      <c r="AZ11" s="30"/>
      <c r="BA11" s="31" t="s">
        <v>22</v>
      </c>
      <c r="BB11" s="31"/>
      <c r="BC11" s="31"/>
      <c r="BD11" s="31"/>
    </row>
    <row r="12" customFormat="false" ht="18" hidden="false" customHeight="true" outlineLevel="0" collapsed="false">
      <c r="B12" s="32" t="s">
        <v>23</v>
      </c>
      <c r="C12" s="32"/>
      <c r="D12" s="33"/>
      <c r="E12" s="33"/>
      <c r="F12" s="33"/>
      <c r="G12" s="33"/>
      <c r="I12" s="32" t="s">
        <v>23</v>
      </c>
      <c r="J12" s="32"/>
      <c r="K12" s="33"/>
      <c r="L12" s="33"/>
      <c r="M12" s="33"/>
      <c r="N12" s="33"/>
      <c r="P12" s="32" t="s">
        <v>23</v>
      </c>
      <c r="Q12" s="32"/>
      <c r="R12" s="33"/>
      <c r="S12" s="33"/>
      <c r="T12" s="33"/>
      <c r="U12" s="33"/>
      <c r="W12" s="32" t="s">
        <v>23</v>
      </c>
      <c r="X12" s="32"/>
      <c r="Y12" s="33"/>
      <c r="Z12" s="33"/>
      <c r="AA12" s="33"/>
      <c r="AB12" s="33"/>
      <c r="AD12" s="32" t="s">
        <v>23</v>
      </c>
      <c r="AE12" s="32"/>
      <c r="AF12" s="33"/>
      <c r="AG12" s="33"/>
      <c r="AH12" s="33"/>
      <c r="AI12" s="33"/>
      <c r="AK12" s="32" t="s">
        <v>23</v>
      </c>
      <c r="AL12" s="32"/>
      <c r="AM12" s="33"/>
      <c r="AN12" s="33"/>
      <c r="AO12" s="33"/>
      <c r="AP12" s="33"/>
      <c r="AR12" s="32" t="s">
        <v>23</v>
      </c>
      <c r="AS12" s="32"/>
      <c r="AT12" s="33"/>
      <c r="AU12" s="33"/>
      <c r="AV12" s="33"/>
      <c r="AW12" s="33"/>
      <c r="AY12" s="32" t="s">
        <v>23</v>
      </c>
      <c r="AZ12" s="32"/>
      <c r="BA12" s="33"/>
      <c r="BB12" s="33"/>
      <c r="BC12" s="33"/>
      <c r="BD12" s="33"/>
    </row>
    <row r="13" customFormat="false" ht="18" hidden="false" customHeight="true" outlineLevel="0" collapsed="false">
      <c r="B13" s="52" t="s">
        <v>24</v>
      </c>
      <c r="C13" s="53" t="s">
        <v>25</v>
      </c>
      <c r="D13" s="54" t="s">
        <v>101</v>
      </c>
      <c r="E13" s="54" t="s">
        <v>27</v>
      </c>
      <c r="F13" s="54" t="s">
        <v>28</v>
      </c>
      <c r="G13" s="55" t="s">
        <v>102</v>
      </c>
      <c r="I13" s="52" t="s">
        <v>24</v>
      </c>
      <c r="J13" s="53" t="s">
        <v>25</v>
      </c>
      <c r="K13" s="54" t="s">
        <v>101</v>
      </c>
      <c r="L13" s="54" t="s">
        <v>27</v>
      </c>
      <c r="M13" s="54" t="s">
        <v>28</v>
      </c>
      <c r="N13" s="55" t="s">
        <v>102</v>
      </c>
      <c r="P13" s="52" t="s">
        <v>24</v>
      </c>
      <c r="Q13" s="53" t="s">
        <v>25</v>
      </c>
      <c r="R13" s="54" t="s">
        <v>101</v>
      </c>
      <c r="S13" s="54" t="s">
        <v>27</v>
      </c>
      <c r="T13" s="54" t="s">
        <v>28</v>
      </c>
      <c r="U13" s="55" t="s">
        <v>102</v>
      </c>
      <c r="W13" s="52" t="s">
        <v>24</v>
      </c>
      <c r="X13" s="53" t="s">
        <v>25</v>
      </c>
      <c r="Y13" s="54" t="s">
        <v>101</v>
      </c>
      <c r="Z13" s="54" t="s">
        <v>27</v>
      </c>
      <c r="AA13" s="54" t="s">
        <v>28</v>
      </c>
      <c r="AB13" s="55" t="s">
        <v>102</v>
      </c>
      <c r="AD13" s="52" t="s">
        <v>24</v>
      </c>
      <c r="AE13" s="53" t="s">
        <v>25</v>
      </c>
      <c r="AF13" s="54" t="s">
        <v>101</v>
      </c>
      <c r="AG13" s="54" t="s">
        <v>27</v>
      </c>
      <c r="AH13" s="54" t="s">
        <v>28</v>
      </c>
      <c r="AI13" s="55" t="s">
        <v>102</v>
      </c>
      <c r="AK13" s="52" t="s">
        <v>24</v>
      </c>
      <c r="AL13" s="53" t="s">
        <v>25</v>
      </c>
      <c r="AM13" s="54" t="s">
        <v>101</v>
      </c>
      <c r="AN13" s="54" t="s">
        <v>27</v>
      </c>
      <c r="AO13" s="54" t="s">
        <v>28</v>
      </c>
      <c r="AP13" s="55" t="s">
        <v>102</v>
      </c>
      <c r="AR13" s="52" t="s">
        <v>24</v>
      </c>
      <c r="AS13" s="53" t="s">
        <v>25</v>
      </c>
      <c r="AT13" s="54" t="s">
        <v>101</v>
      </c>
      <c r="AU13" s="54" t="s">
        <v>27</v>
      </c>
      <c r="AV13" s="54" t="s">
        <v>28</v>
      </c>
      <c r="AW13" s="55" t="s">
        <v>102</v>
      </c>
      <c r="AY13" s="52" t="s">
        <v>24</v>
      </c>
      <c r="AZ13" s="53" t="s">
        <v>25</v>
      </c>
      <c r="BA13" s="54" t="s">
        <v>101</v>
      </c>
      <c r="BB13" s="54" t="s">
        <v>27</v>
      </c>
      <c r="BC13" s="54" t="s">
        <v>28</v>
      </c>
      <c r="BD13" s="55" t="s">
        <v>102</v>
      </c>
    </row>
    <row r="14" customFormat="false" ht="18" hidden="false" customHeight="true" outlineLevel="0" collapsed="false">
      <c r="B14" s="42" t="n">
        <v>1</v>
      </c>
      <c r="C14" s="43" t="str">
        <f aca="false">'Purchase August 2026'!C14</f>
        <v>Buzzballz Easy-to-Drink Flavoured Alcoholic Beverage Berry Lemon Squeeze Aromatized Wine-PET 180MLx48P.Btls(0609)</v>
      </c>
      <c r="D14" s="44" t="n">
        <f aca="false">'Purchase August 2026'!D14</f>
        <v>0</v>
      </c>
      <c r="E14" s="44" t="n">
        <f aca="false">'Purchase August 2026'!E14</f>
        <v>24</v>
      </c>
      <c r="F14" s="45" t="n">
        <f aca="false">'Purchase August 2026'!F14</f>
        <v>4363.64</v>
      </c>
      <c r="G14" s="46" t="n">
        <f aca="false">('Purchase August 2026'!G14)*1.1</f>
        <v>2400.002</v>
      </c>
      <c r="I14" s="42" t="n">
        <v>1</v>
      </c>
      <c r="J14" s="43" t="str">
        <f aca="false">'Purchase August 2026'!C30</f>
        <v>Old Monk Very Old Vatted Special XXX Rum-Aseptic Brick Pack 180MLx48ABP(0532)</v>
      </c>
      <c r="K14" s="44" t="n">
        <f aca="false">'Purchase August 2026'!D30</f>
        <v>1</v>
      </c>
      <c r="L14" s="44" t="n">
        <f aca="false">'Purchase August 2026'!E30</f>
        <v>0</v>
      </c>
      <c r="M14" s="45" t="n">
        <f aca="false">'Purchase August 2026'!F30</f>
        <v>7629.11</v>
      </c>
      <c r="N14" s="46" t="n">
        <f aca="false">('Purchase August 2026'!G30)*1.1</f>
        <v>8392.021</v>
      </c>
      <c r="P14" s="42" t="n">
        <v>1</v>
      </c>
      <c r="Q14" s="43" t="str">
        <f aca="false">'Purchase August 2026'!J14</f>
        <v>Bacardi+Cranberry 275MLx24Btls(0057)</v>
      </c>
      <c r="R14" s="44" t="n">
        <f aca="false">'Purchase August 2026'!K14</f>
        <v>1</v>
      </c>
      <c r="S14" s="44" t="n">
        <f aca="false">'Purchase August 2026'!L14</f>
        <v>0</v>
      </c>
      <c r="T14" s="45" t="n">
        <f aca="false">'Purchase August 2026'!M14</f>
        <v>2509.06</v>
      </c>
      <c r="U14" s="46" t="n">
        <f aca="false">('Purchase August 2026'!N14)*1.1</f>
        <v>2759.966</v>
      </c>
      <c r="W14" s="42" t="n">
        <v>1</v>
      </c>
      <c r="X14" s="43" t="str">
        <f aca="false">'Purchase August 2026'!J30</f>
        <v>Mcdowell's No.1 Celebration Classic XXX Rum - Tetra Pack 180MLx48T.Packs(0524)</v>
      </c>
      <c r="Y14" s="44" t="n">
        <f aca="false">'Purchase August 2026'!K30</f>
        <v>1</v>
      </c>
      <c r="Z14" s="44" t="n">
        <f aca="false">'Purchase August 2026'!L30</f>
        <v>0</v>
      </c>
      <c r="AA14" s="45" t="n">
        <f aca="false">'Purchase August 2026'!M30</f>
        <v>7155.96</v>
      </c>
      <c r="AB14" s="46" t="n">
        <f aca="false">('Purchase August 2026'!N30)*1.1</f>
        <v>7871.556</v>
      </c>
      <c r="AD14" s="42" t="n">
        <v>1</v>
      </c>
      <c r="AE14" s="43" t="str">
        <f aca="false">'Purchase August 2026'!Q14</f>
        <v>Bagpiper Deluxe Whisky-Aseptic Brick Pack(40%) 180MLx48ABP(0546)</v>
      </c>
      <c r="AF14" s="44" t="n">
        <f aca="false">'Purchase August 2026'!R14</f>
        <v>2</v>
      </c>
      <c r="AG14" s="44" t="n">
        <f aca="false">'Purchase August 2026'!S14</f>
        <v>0</v>
      </c>
      <c r="AH14" s="45" t="n">
        <f aca="false">'Purchase August 2026'!T14</f>
        <v>6731.49</v>
      </c>
      <c r="AI14" s="46" t="n">
        <f aca="false">('Purchase August 2026'!U14)*1.1</f>
        <v>14809.278</v>
      </c>
      <c r="AK14" s="42" t="n">
        <v>1</v>
      </c>
      <c r="AL14" s="43" t="str">
        <f aca="false">'Purchase August 2026'!Q28</f>
        <v>Budweiser Premium King of Beers 650MLx12Btls(0217)</v>
      </c>
      <c r="AM14" s="44" t="n">
        <f aca="false">'Purchase August 2026'!R28</f>
        <v>4</v>
      </c>
      <c r="AN14" s="44" t="n">
        <f aca="false">'Purchase August 2026'!S28</f>
        <v>0</v>
      </c>
      <c r="AO14" s="45" t="n">
        <f aca="false">'Purchase August 2026'!T28</f>
        <v>2232.11</v>
      </c>
      <c r="AP14" s="46" t="n">
        <f aca="false">('Purchase August 2026'!U28)*1.1</f>
        <v>9821.284</v>
      </c>
      <c r="AR14" s="42" t="n">
        <v>1</v>
      </c>
      <c r="AS14" s="43" t="str">
        <f aca="false">'Purchase August 2026'!X14</f>
        <v>Bagpiper Deluxe Whisky-PET(40%)750MLx12P.Btls(0538)</v>
      </c>
      <c r="AT14" s="44" t="n">
        <f aca="false">'Purchase August 2026'!Y14</f>
        <v>1</v>
      </c>
      <c r="AU14" s="44" t="n">
        <f aca="false">'Purchase August 2026'!Z14</f>
        <v>0</v>
      </c>
      <c r="AV14" s="45" t="n">
        <f aca="false">'Purchase August 2026'!AA14</f>
        <v>6984.75</v>
      </c>
      <c r="AW14" s="46" t="n">
        <f aca="false">('Purchase August 2026'!AB14)*1.1</f>
        <v>7683.225</v>
      </c>
      <c r="AY14" s="42" t="n">
        <v>1</v>
      </c>
      <c r="AZ14" s="43" t="str">
        <f aca="false">'Purchase August 2026'!X31</f>
        <v>Old Monk Very Old Vatted Special XXX Rum-Aseptic Brick Pack 180MLx48ABP(0532)</v>
      </c>
      <c r="BA14" s="44" t="n">
        <f aca="false">'Purchase August 2026'!Y31</f>
        <v>1</v>
      </c>
      <c r="BB14" s="44" t="n">
        <f aca="false">'Purchase August 2026'!Z31</f>
        <v>0</v>
      </c>
      <c r="BC14" s="45" t="n">
        <f aca="false">'Purchase August 2026'!AA31</f>
        <v>7629.11</v>
      </c>
      <c r="BD14" s="46" t="n">
        <f aca="false">('Purchase August 2026'!AB31)*1.1</f>
        <v>8392.021</v>
      </c>
    </row>
    <row r="15" customFormat="false" ht="18" hidden="false" customHeight="true" outlineLevel="0" collapsed="false">
      <c r="B15" s="42" t="n">
        <v>2</v>
      </c>
      <c r="C15" s="43" t="str">
        <f aca="false">'Purchase August 2026'!C15</f>
        <v>Buzzballz Easy-to-Drink Flavoured Alcoholic Beverage Strawberry Squeeze Aromatized Wine-PET 180MLx48P.Btls(0609)</v>
      </c>
      <c r="D15" s="44" t="n">
        <f aca="false">'Purchase August 2026'!D15</f>
        <v>0</v>
      </c>
      <c r="E15" s="44" t="n">
        <f aca="false">'Purchase August 2026'!E15</f>
        <v>24</v>
      </c>
      <c r="F15" s="45" t="n">
        <f aca="false">'Purchase August 2026'!F15</f>
        <v>4363.64</v>
      </c>
      <c r="G15" s="46" t="n">
        <f aca="false">('Purchase August 2026'!G15)*1.1</f>
        <v>2400.002</v>
      </c>
      <c r="I15" s="42" t="n">
        <v>2</v>
      </c>
      <c r="J15" s="43" t="str">
        <f aca="false">'Purchase August 2026'!C31</f>
        <v>Magic Moments Remix Flavoured Vodka ORANGE 750ML(0502)</v>
      </c>
      <c r="K15" s="44" t="n">
        <f aca="false">'Purchase August 2026'!D31</f>
        <v>0</v>
      </c>
      <c r="L15" s="44" t="n">
        <f aca="false">'Purchase August 2026'!E31</f>
        <v>3</v>
      </c>
      <c r="M15" s="45" t="n">
        <f aca="false">'Purchase August 2026'!F31</f>
        <v>11873.32</v>
      </c>
      <c r="N15" s="46" t="n">
        <f aca="false">('Purchase August 2026'!G31)*1.1</f>
        <v>3265.163</v>
      </c>
      <c r="P15" s="42" t="n">
        <v>2</v>
      </c>
      <c r="Q15" s="43" t="str">
        <f aca="false">'Purchase August 2026'!J15</f>
        <v>Breezer Tangy Cranberry Flavour 275MLx24Btls(0057)</v>
      </c>
      <c r="R15" s="44" t="n">
        <f aca="false">'Purchase August 2026'!K15</f>
        <v>1</v>
      </c>
      <c r="S15" s="44" t="n">
        <f aca="false">'Purchase August 2026'!L15</f>
        <v>0</v>
      </c>
      <c r="T15" s="45" t="n">
        <f aca="false">'Purchase August 2026'!M15</f>
        <v>2836.36</v>
      </c>
      <c r="U15" s="46" t="n">
        <f aca="false">('Purchase August 2026'!N15)*1.1</f>
        <v>3119.996</v>
      </c>
      <c r="W15" s="42" t="n">
        <v>2</v>
      </c>
      <c r="X15" s="43" t="str">
        <f aca="false">'Purchase August 2026'!J31</f>
        <v>Old Monk Very Old Vatted Special XXX Rum-Aseptic Brick Pack 180MLx48ABP(0532)</v>
      </c>
      <c r="Y15" s="44" t="n">
        <f aca="false">'Purchase August 2026'!K31</f>
        <v>1</v>
      </c>
      <c r="Z15" s="44" t="n">
        <f aca="false">'Purchase August 2026'!L31</f>
        <v>0</v>
      </c>
      <c r="AA15" s="45" t="n">
        <f aca="false">'Purchase August 2026'!M31</f>
        <v>7629.11</v>
      </c>
      <c r="AB15" s="46" t="n">
        <f aca="false">('Purchase August 2026'!N31)*1.1</f>
        <v>8392.021</v>
      </c>
      <c r="AD15" s="42" t="n">
        <v>2</v>
      </c>
      <c r="AE15" s="43" t="str">
        <f aca="false">'Purchase August 2026'!Q15</f>
        <v>DSP Black Deluxe Whisky-PET 180MLx48P.Btls(0020)</v>
      </c>
      <c r="AF15" s="44" t="n">
        <f aca="false">'Purchase August 2026'!R15</f>
        <v>1</v>
      </c>
      <c r="AG15" s="44" t="n">
        <f aca="false">'Purchase August 2026'!S15</f>
        <v>0</v>
      </c>
      <c r="AH15" s="45" t="n">
        <f aca="false">'Purchase August 2026'!T15</f>
        <v>8805.34</v>
      </c>
      <c r="AI15" s="46" t="n">
        <f aca="false">('Purchase August 2026'!U15)*1.1</f>
        <v>9685.874</v>
      </c>
      <c r="AK15" s="42" t="n">
        <v>2</v>
      </c>
      <c r="AL15" s="43" t="str">
        <f aca="false">'Purchase August 2026'!Q29</f>
        <v>Copenhagen Tuborg Strong Premium Beer 330MLx24Btls(0205)</v>
      </c>
      <c r="AM15" s="44" t="n">
        <f aca="false">'Purchase August 2026'!R29</f>
        <v>2</v>
      </c>
      <c r="AN15" s="44" t="n">
        <f aca="false">'Purchase August 2026'!S29</f>
        <v>0</v>
      </c>
      <c r="AO15" s="45" t="n">
        <f aca="false">'Purchase August 2026'!T29</f>
        <v>2725.8</v>
      </c>
      <c r="AP15" s="46" t="n">
        <f aca="false">('Purchase August 2026'!U29)*1.1</f>
        <v>5996.76</v>
      </c>
      <c r="AR15" s="42" t="n">
        <v>2</v>
      </c>
      <c r="AS15" s="43" t="str">
        <f aca="false">'Purchase August 2026'!X15</f>
        <v>Bagpiper Deluxe Whisky-Tetra Pack (40%) 180MLx48Btls(0544)</v>
      </c>
      <c r="AT15" s="44" t="n">
        <f aca="false">'Purchase August 2026'!Y15</f>
        <v>2</v>
      </c>
      <c r="AU15" s="44" t="n">
        <f aca="false">'Purchase August 2026'!Z15</f>
        <v>0</v>
      </c>
      <c r="AV15" s="45" t="n">
        <f aca="false">'Purchase August 2026'!AA15</f>
        <v>6731.49</v>
      </c>
      <c r="AW15" s="46" t="n">
        <f aca="false">('Purchase August 2026'!AB15)*1.1</f>
        <v>14809.278</v>
      </c>
      <c r="AY15" s="42" t="n">
        <v>2</v>
      </c>
      <c r="AZ15" s="43" t="str">
        <f aca="false">'Purchase August 2026'!X32</f>
        <v>Platinum Romanov Flavoured Vodka Zesty Orange 180MLx48Btls(0538)</v>
      </c>
      <c r="BA15" s="44" t="n">
        <f aca="false">'Purchase August 2026'!Y32</f>
        <v>1</v>
      </c>
      <c r="BB15" s="44" t="n">
        <f aca="false">'Purchase August 2026'!Z32</f>
        <v>0</v>
      </c>
      <c r="BC15" s="45" t="n">
        <f aca="false">'Purchase August 2026'!AA32</f>
        <v>8307.33</v>
      </c>
      <c r="BD15" s="46" t="n">
        <f aca="false">('Purchase August 2026'!AB32)*1.1</f>
        <v>9138.063</v>
      </c>
    </row>
    <row r="16" customFormat="false" ht="18" hidden="false" customHeight="true" outlineLevel="0" collapsed="false">
      <c r="B16" s="42" t="n">
        <v>3</v>
      </c>
      <c r="C16" s="43" t="str">
        <f aca="false">'Purchase August 2026'!C16</f>
        <v>After Dark Blue Classic Grain Whisky-PET 180MLx48P.Btls(0537)</v>
      </c>
      <c r="D16" s="44" t="n">
        <f aca="false">'Purchase August 2026'!D16</f>
        <v>1</v>
      </c>
      <c r="E16" s="44" t="n">
        <f aca="false">'Purchase August 2026'!E16</f>
        <v>0</v>
      </c>
      <c r="F16" s="45" t="n">
        <f aca="false">'Purchase August 2026'!F16</f>
        <v>8718.78</v>
      </c>
      <c r="G16" s="46" t="n">
        <f aca="false">('Purchase August 2026'!G16)*1.1</f>
        <v>9590.658</v>
      </c>
      <c r="I16" s="42" t="n">
        <v>3</v>
      </c>
      <c r="J16" s="43" t="str">
        <f aca="false">'Purchase August 2026'!C32</f>
        <v>Smirnoff Orange Triple Distilled Vodka 750MLx12Btls(0020)</v>
      </c>
      <c r="K16" s="44" t="n">
        <f aca="false">'Purchase August 2026'!D32</f>
        <v>0</v>
      </c>
      <c r="L16" s="44" t="n">
        <f aca="false">'Purchase August 2026'!E32</f>
        <v>3</v>
      </c>
      <c r="M16" s="45" t="n">
        <f aca="false">'Purchase August 2026'!F32</f>
        <v>14276.28</v>
      </c>
      <c r="N16" s="46" t="n">
        <f aca="false">('Purchase August 2026'!G32)*1.1</f>
        <v>3925.977</v>
      </c>
      <c r="P16" s="42" t="n">
        <v>3</v>
      </c>
      <c r="Q16" s="43" t="str">
        <f aca="false">'Purchase August 2026'!J16</f>
        <v>Bagpiper Deluxe Whisky-Tetra Pack (40%) 180MLx48Btls(0544)</v>
      </c>
      <c r="R16" s="44" t="n">
        <f aca="false">'Purchase August 2026'!K16</f>
        <v>1</v>
      </c>
      <c r="S16" s="44" t="n">
        <f aca="false">'Purchase August 2026'!L16</f>
        <v>0</v>
      </c>
      <c r="T16" s="45" t="n">
        <f aca="false">'Purchase August 2026'!M16</f>
        <v>6731.49</v>
      </c>
      <c r="U16" s="46" t="n">
        <f aca="false">('Purchase August 2026'!N16)*1.1</f>
        <v>7404.639</v>
      </c>
      <c r="W16" s="42" t="n">
        <v>3</v>
      </c>
      <c r="X16" s="43" t="str">
        <f aca="false">'Purchase August 2026'!J32</f>
        <v>Magic Moments Remix Flavoured Vodka ORANGE 750ML(0502)</v>
      </c>
      <c r="Y16" s="44" t="n">
        <f aca="false">'Purchase August 2026'!K32</f>
        <v>0</v>
      </c>
      <c r="Z16" s="44" t="n">
        <f aca="false">'Purchase August 2026'!L32</f>
        <v>3</v>
      </c>
      <c r="AA16" s="45" t="n">
        <f aca="false">'Purchase August 2026'!M32</f>
        <v>11873.32</v>
      </c>
      <c r="AB16" s="46" t="n">
        <f aca="false">('Purchase August 2026'!N32)*1.1</f>
        <v>3265.163</v>
      </c>
      <c r="AD16" s="42" t="n">
        <v>3</v>
      </c>
      <c r="AE16" s="43" t="str">
        <f aca="false">'Purchase August 2026'!Q16</f>
        <v>Director's Special Whisky-Tetra Pack 180MLx48T.Packs(0524)</v>
      </c>
      <c r="AF16" s="44" t="n">
        <f aca="false">'Purchase August 2026'!R16</f>
        <v>1</v>
      </c>
      <c r="AG16" s="44" t="n">
        <f aca="false">'Purchase August 2026'!S16</f>
        <v>0</v>
      </c>
      <c r="AH16" s="45" t="n">
        <f aca="false">'Purchase August 2026'!T16</f>
        <v>7156.97</v>
      </c>
      <c r="AI16" s="46" t="n">
        <f aca="false">('Purchase August 2026'!U16)*1.1</f>
        <v>7872.667</v>
      </c>
      <c r="AK16" s="42" t="n">
        <v>3</v>
      </c>
      <c r="AL16" s="43" t="str">
        <f aca="false">'Purchase August 2026'!Q30</f>
        <v>Copenhagen Tuborg Strong Premium Beer 650MLx12Btls(0205)</v>
      </c>
      <c r="AM16" s="44" t="n">
        <f aca="false">'Purchase August 2026'!R30</f>
        <v>6</v>
      </c>
      <c r="AN16" s="44" t="n">
        <f aca="false">'Purchase August 2026'!S30</f>
        <v>0</v>
      </c>
      <c r="AO16" s="45" t="n">
        <f aca="false">'Purchase August 2026'!T30</f>
        <v>1867.49</v>
      </c>
      <c r="AP16" s="46" t="n">
        <f aca="false">('Purchase August 2026'!U30)*1.1</f>
        <v>12325.434</v>
      </c>
      <c r="AR16" s="42" t="n">
        <v>3</v>
      </c>
      <c r="AS16" s="43" t="str">
        <f aca="false">'Purchase August 2026'!X16</f>
        <v>Black &amp; White Blended Scotch Whisky 750MLx12Btls(0020)</v>
      </c>
      <c r="AT16" s="44" t="n">
        <f aca="false">'Purchase August 2026'!Y16</f>
        <v>0</v>
      </c>
      <c r="AU16" s="44" t="n">
        <f aca="false">'Purchase August 2026'!Z16</f>
        <v>3</v>
      </c>
      <c r="AV16" s="45" t="n">
        <f aca="false">'Purchase August 2026'!AA16</f>
        <v>25883.17</v>
      </c>
      <c r="AW16" s="46" t="n">
        <f aca="false">('Purchase August 2026'!AB16)*1.1</f>
        <v>7117.869</v>
      </c>
      <c r="AY16" s="42" t="n">
        <v>3</v>
      </c>
      <c r="AZ16" s="43" t="str">
        <f aca="false">'Purchase August 2026'!X33</f>
        <v>Budweiser Magnum Premium Superior Beer 650MLx12Btls(0217)</v>
      </c>
      <c r="BA16" s="44" t="n">
        <f aca="false">'Purchase August 2026'!Y33</f>
        <v>4</v>
      </c>
      <c r="BB16" s="44" t="n">
        <f aca="false">'Purchase August 2026'!Z33</f>
        <v>0</v>
      </c>
      <c r="BC16" s="45" t="n">
        <f aca="false">'Purchase August 2026'!AA33</f>
        <v>2727.27</v>
      </c>
      <c r="BD16" s="46" t="n">
        <f aca="false">('Purchase August 2026'!AB33)*1.1</f>
        <v>11999.988</v>
      </c>
    </row>
    <row r="17" customFormat="false" ht="18" hidden="false" customHeight="true" outlineLevel="0" collapsed="false">
      <c r="B17" s="42" t="n">
        <v>4</v>
      </c>
      <c r="C17" s="43" t="str">
        <f aca="false">'Purchase August 2026'!C17</f>
        <v>Bagpiper Deluxe Whisky-PET(40%)750MLx12P.Btls(0538)</v>
      </c>
      <c r="D17" s="44" t="n">
        <f aca="false">'Purchase August 2026'!D17</f>
        <v>1</v>
      </c>
      <c r="E17" s="44" t="n">
        <f aca="false">'Purchase August 2026'!E17</f>
        <v>0</v>
      </c>
      <c r="F17" s="45" t="n">
        <f aca="false">'Purchase August 2026'!F17</f>
        <v>6984.75</v>
      </c>
      <c r="G17" s="46" t="n">
        <f aca="false">('Purchase August 2026'!G17)*1.1</f>
        <v>7683.225</v>
      </c>
      <c r="I17" s="42" t="n">
        <v>4</v>
      </c>
      <c r="J17" s="43" t="str">
        <f aca="false">'Purchase August 2026'!C33</f>
        <v>Budweiser Magnum Beer 650MLx12Btls(0217)</v>
      </c>
      <c r="K17" s="44" t="n">
        <f aca="false">'Purchase August 2026'!D33</f>
        <v>2</v>
      </c>
      <c r="L17" s="44" t="n">
        <f aca="false">'Purchase August 2026'!E33</f>
        <v>0</v>
      </c>
      <c r="M17" s="45" t="n">
        <f aca="false">'Purchase August 2026'!F33</f>
        <v>2727.19</v>
      </c>
      <c r="N17" s="46" t="n">
        <f aca="false">('Purchase August 2026'!G33)*1.1</f>
        <v>5999.818</v>
      </c>
      <c r="P17" s="42" t="n">
        <v>4</v>
      </c>
      <c r="Q17" s="43" t="str">
        <f aca="false">'Purchase August 2026'!J17</f>
        <v>Black &amp; White Blended Scotch Whisky 750MLx12Btls(0020)</v>
      </c>
      <c r="R17" s="44" t="n">
        <f aca="false">'Purchase August 2026'!K17</f>
        <v>0</v>
      </c>
      <c r="S17" s="44" t="n">
        <f aca="false">'Purchase August 2026'!L17</f>
        <v>3</v>
      </c>
      <c r="T17" s="45" t="n">
        <f aca="false">'Purchase August 2026'!M17</f>
        <v>25883.17</v>
      </c>
      <c r="U17" s="46" t="n">
        <f aca="false">('Purchase August 2026'!N17)*1.1</f>
        <v>7117.869</v>
      </c>
      <c r="W17" s="42" t="n">
        <v>4</v>
      </c>
      <c r="X17" s="43" t="str">
        <f aca="false">'Purchase August 2026'!J33</f>
        <v>Platinum Romanov Flavoured Vodka Zesty Orange 180MLx48Btls(0538)</v>
      </c>
      <c r="Y17" s="44" t="n">
        <f aca="false">'Purchase August 2026'!K33</f>
        <v>1</v>
      </c>
      <c r="Z17" s="44" t="n">
        <f aca="false">'Purchase August 2026'!L33</f>
        <v>0</v>
      </c>
      <c r="AA17" s="45" t="n">
        <f aca="false">'Purchase August 2026'!M33</f>
        <v>8307.33</v>
      </c>
      <c r="AB17" s="46" t="n">
        <f aca="false">('Purchase August 2026'!N33)*1.1</f>
        <v>9138.063</v>
      </c>
      <c r="AD17" s="42" t="n">
        <v>4</v>
      </c>
      <c r="AE17" s="43" t="str">
        <f aca="false">'Purchase August 2026'!Q17</f>
        <v>MCDOWELLS NO.1 PREMIUM RESERVE WHISKY 750MLx12Btls(0020)</v>
      </c>
      <c r="AF17" s="44" t="n">
        <f aca="false">'Purchase August 2026'!R17</f>
        <v>1</v>
      </c>
      <c r="AG17" s="44" t="n">
        <f aca="false">'Purchase August 2026'!S17</f>
        <v>0</v>
      </c>
      <c r="AH17" s="45" t="n">
        <f aca="false">'Purchase August 2026'!T17</f>
        <v>9084.2</v>
      </c>
      <c r="AI17" s="46" t="n">
        <f aca="false">('Purchase August 2026'!U17)*1.1</f>
        <v>9992.62</v>
      </c>
      <c r="AK17" s="42" t="n">
        <v>4</v>
      </c>
      <c r="AL17" s="43" t="str">
        <f aca="false">'Purchase August 2026'!Q31</f>
        <v>Kingfisher Premium Lager Beer 330MLx24Btls(0206)</v>
      </c>
      <c r="AM17" s="44" t="n">
        <f aca="false">'Purchase August 2026'!R31</f>
        <v>1</v>
      </c>
      <c r="AN17" s="44" t="n">
        <f aca="false">'Purchase August 2026'!S31</f>
        <v>0</v>
      </c>
      <c r="AO17" s="45" t="n">
        <f aca="false">'Purchase August 2026'!T31</f>
        <v>1233.92</v>
      </c>
      <c r="AP17" s="46" t="n">
        <f aca="false">('Purchase August 2026'!U31)*1.1</f>
        <v>1357.312</v>
      </c>
      <c r="AR17" s="42" t="n">
        <v>4</v>
      </c>
      <c r="AS17" s="43" t="str">
        <f aca="false">'Purchase August 2026'!X17</f>
        <v>Black &amp; White Blended Scotch Whisky-PET 180MLx48P.Btls(0020)</v>
      </c>
      <c r="AT17" s="44" t="n">
        <f aca="false">'Purchase August 2026'!Y17</f>
        <v>0</v>
      </c>
      <c r="AU17" s="44" t="n">
        <f aca="false">'Purchase August 2026'!Z17</f>
        <v>24</v>
      </c>
      <c r="AV17" s="45" t="n">
        <f aca="false">'Purchase August 2026'!AA17</f>
        <v>25154.37</v>
      </c>
      <c r="AW17" s="46" t="n">
        <f aca="false">('Purchase August 2026'!AB17)*1.1</f>
        <v>13834.909</v>
      </c>
      <c r="AY17" s="42" t="n">
        <v>4</v>
      </c>
      <c r="AZ17" s="43" t="str">
        <f aca="false">'Purchase August 2026'!X34</f>
        <v>Carlsberg Elephant Strong Super Premium Beer 650MLx12Btls(0205)</v>
      </c>
      <c r="BA17" s="44" t="n">
        <f aca="false">'Purchase August 2026'!Y34</f>
        <v>2</v>
      </c>
      <c r="BB17" s="44" t="n">
        <f aca="false">'Purchase August 2026'!Z34</f>
        <v>0</v>
      </c>
      <c r="BC17" s="45" t="n">
        <f aca="false">'Purchase August 2026'!AA34</f>
        <v>2591.91</v>
      </c>
      <c r="BD17" s="46" t="n">
        <f aca="false">('Purchase August 2026'!AB34)*1.1</f>
        <v>5702.202</v>
      </c>
    </row>
    <row r="18" customFormat="false" ht="18" hidden="false" customHeight="true" outlineLevel="0" collapsed="false">
      <c r="B18" s="42" t="n">
        <v>5</v>
      </c>
      <c r="C18" s="43" t="str">
        <f aca="false">'Purchase August 2026'!C18</f>
        <v>DSP Black Deluxe Whisky-PET 180MLx48P.Btls(0020)</v>
      </c>
      <c r="D18" s="44" t="n">
        <f aca="false">'Purchase August 2026'!D18</f>
        <v>2</v>
      </c>
      <c r="E18" s="44" t="n">
        <f aca="false">'Purchase August 2026'!E18</f>
        <v>0</v>
      </c>
      <c r="F18" s="45" t="n">
        <f aca="false">'Purchase August 2026'!F18</f>
        <v>8805.34</v>
      </c>
      <c r="G18" s="46" t="n">
        <f aca="false">('Purchase August 2026'!G18)*1.1</f>
        <v>19371.748</v>
      </c>
      <c r="I18" s="42" t="n">
        <v>5</v>
      </c>
      <c r="J18" s="43" t="str">
        <f aca="false">'Purchase August 2026'!C34</f>
        <v>Carlsberg Elephant Strong Super Premium Beer 650MLx12Btls(0205)</v>
      </c>
      <c r="K18" s="44" t="n">
        <f aca="false">'Purchase August 2026'!D34</f>
        <v>2</v>
      </c>
      <c r="L18" s="44" t="n">
        <f aca="false">'Purchase August 2026'!E34</f>
        <v>0</v>
      </c>
      <c r="M18" s="45" t="n">
        <f aca="false">'Purchase August 2026'!F34</f>
        <v>2591.91</v>
      </c>
      <c r="N18" s="46" t="n">
        <f aca="false">('Purchase August 2026'!G34)*1.1</f>
        <v>5702.202</v>
      </c>
      <c r="P18" s="42" t="n">
        <v>5</v>
      </c>
      <c r="Q18" s="43" t="str">
        <f aca="false">'Purchase August 2026'!J18</f>
        <v>Black &amp; White Blended Scotch Whisky-PET 180MLx48P.Btls(0020)</v>
      </c>
      <c r="R18" s="44" t="n">
        <f aca="false">'Purchase August 2026'!K18</f>
        <v>0</v>
      </c>
      <c r="S18" s="44" t="n">
        <f aca="false">'Purchase August 2026'!L18</f>
        <v>24</v>
      </c>
      <c r="T18" s="45" t="n">
        <f aca="false">'Purchase August 2026'!M18</f>
        <v>25154.37</v>
      </c>
      <c r="U18" s="46" t="n">
        <f aca="false">('Purchase August 2026'!N18)*1.1</f>
        <v>13834.909</v>
      </c>
      <c r="W18" s="42" t="n">
        <v>5</v>
      </c>
      <c r="X18" s="43" t="str">
        <f aca="false">'Purchase August 2026'!J34</f>
        <v>Smirnoff Orange Triple Distilled Vodka-PET 180MLx48P.Btls(0020)</v>
      </c>
      <c r="Y18" s="44" t="n">
        <f aca="false">'Purchase August 2026'!K34</f>
        <v>0</v>
      </c>
      <c r="Z18" s="44" t="n">
        <f aca="false">'Purchase August 2026'!L34</f>
        <v>12</v>
      </c>
      <c r="AA18" s="45" t="n">
        <f aca="false">'Purchase August 2026'!M34</f>
        <v>13903.17</v>
      </c>
      <c r="AB18" s="46" t="n">
        <f aca="false">('Purchase August 2026'!N34)*1.1</f>
        <v>3823.369</v>
      </c>
      <c r="AD18" s="42" t="n">
        <v>5</v>
      </c>
      <c r="AE18" s="43" t="str">
        <f aca="false">'Purchase August 2026'!Q18</f>
        <v>McDowell's No.1 Luxury Select Collection Whisky 750MLx12Btls(0524)</v>
      </c>
      <c r="AF18" s="44" t="n">
        <f aca="false">'Purchase August 2026'!R18</f>
        <v>2</v>
      </c>
      <c r="AG18" s="44" t="n">
        <f aca="false">'Purchase August 2026'!S18</f>
        <v>0</v>
      </c>
      <c r="AH18" s="45" t="n">
        <f aca="false">'Purchase August 2026'!T18</f>
        <v>9628.7</v>
      </c>
      <c r="AI18" s="46" t="n">
        <f aca="false">('Purchase August 2026'!U18)*1.1</f>
        <v>21183.14</v>
      </c>
      <c r="AK18" s="42" t="n">
        <v>5</v>
      </c>
      <c r="AL18" s="43" t="str">
        <f aca="false">'Purchase August 2026'!Q32</f>
        <v>Kingfisher Premium Lager Beer 650MLx12Btls(0210)</v>
      </c>
      <c r="AM18" s="44" t="n">
        <f aca="false">'Purchase August 2026'!R32</f>
        <v>4</v>
      </c>
      <c r="AN18" s="44" t="n">
        <f aca="false">'Purchase August 2026'!S32</f>
        <v>0</v>
      </c>
      <c r="AO18" s="45" t="n">
        <f aca="false">'Purchase August 2026'!T32</f>
        <v>1187.75</v>
      </c>
      <c r="AP18" s="46" t="n">
        <f aca="false">('Purchase August 2026'!U32)*1.1</f>
        <v>5226.1</v>
      </c>
      <c r="AR18" s="42" t="n">
        <v>5</v>
      </c>
      <c r="AS18" s="43" t="str">
        <f aca="false">'Purchase August 2026'!X18</f>
        <v>DSP Black Deluxe Whisky-PET 180MLx48P.Btls(0020)</v>
      </c>
      <c r="AT18" s="44" t="n">
        <f aca="false">'Purchase August 2026'!Y18</f>
        <v>2</v>
      </c>
      <c r="AU18" s="44" t="n">
        <f aca="false">'Purchase August 2026'!Z18</f>
        <v>0</v>
      </c>
      <c r="AV18" s="45" t="n">
        <f aca="false">'Purchase August 2026'!AA18</f>
        <v>8805.34</v>
      </c>
      <c r="AW18" s="46" t="n">
        <f aca="false">('Purchase August 2026'!AB18)*1.1</f>
        <v>19371.748</v>
      </c>
      <c r="AY18" s="42" t="n">
        <v>5</v>
      </c>
      <c r="AZ18" s="43" t="str">
        <f aca="false">'Purchase August 2026'!X35</f>
        <v>Copenhagen Tuborg Strong Premium Beer 330MLx24Btls(0205)</v>
      </c>
      <c r="BA18" s="44" t="n">
        <f aca="false">'Purchase August 2026'!Y35</f>
        <v>2</v>
      </c>
      <c r="BB18" s="44" t="n">
        <f aca="false">'Purchase August 2026'!Z35</f>
        <v>0</v>
      </c>
      <c r="BC18" s="45" t="n">
        <f aca="false">'Purchase August 2026'!AA35</f>
        <v>2725.8</v>
      </c>
      <c r="BD18" s="46" t="n">
        <f aca="false">('Purchase August 2026'!AB35)*1.1</f>
        <v>5996.76</v>
      </c>
    </row>
    <row r="19" customFormat="false" ht="18" hidden="false" customHeight="true" outlineLevel="0" collapsed="false">
      <c r="B19" s="42" t="n">
        <v>6</v>
      </c>
      <c r="C19" s="43" t="str">
        <f aca="false">'Purchase August 2026'!C19</f>
        <v>Iconiq White Grand International Grain Whisky 180MLx48Btls(0608)</v>
      </c>
      <c r="D19" s="44" t="n">
        <f aca="false">'Purchase August 2026'!D19</f>
        <v>1</v>
      </c>
      <c r="E19" s="44" t="n">
        <f aca="false">'Purchase August 2026'!E19</f>
        <v>0</v>
      </c>
      <c r="F19" s="45" t="n">
        <f aca="false">'Purchase August 2026'!F19</f>
        <v>8726.82</v>
      </c>
      <c r="G19" s="46" t="n">
        <f aca="false">('Purchase August 2026'!G19)*1.1</f>
        <v>9599.502</v>
      </c>
      <c r="I19" s="42" t="n">
        <v>6</v>
      </c>
      <c r="J19" s="43" t="str">
        <f aca="false">'Purchase August 2026'!C35</f>
        <v>Kingfisher Premium Lager Beer 330MLx24Btls(0206)</v>
      </c>
      <c r="K19" s="44" t="n">
        <f aca="false">'Purchase August 2026'!D35</f>
        <v>1</v>
      </c>
      <c r="L19" s="44" t="n">
        <f aca="false">'Purchase August 2026'!E35</f>
        <v>0</v>
      </c>
      <c r="M19" s="45" t="n">
        <f aca="false">'Purchase August 2026'!F35</f>
        <v>1233.92</v>
      </c>
      <c r="N19" s="46" t="n">
        <f aca="false">('Purchase August 2026'!G35)*1.1</f>
        <v>1357.312</v>
      </c>
      <c r="P19" s="42" t="n">
        <v>6</v>
      </c>
      <c r="Q19" s="43" t="str">
        <f aca="false">'Purchase August 2026'!J19</f>
        <v>Director's Special Whisky-Tetra Pack 180MLx48T.Packs(0524)</v>
      </c>
      <c r="R19" s="44" t="n">
        <f aca="false">'Purchase August 2026'!K19</f>
        <v>1</v>
      </c>
      <c r="S19" s="44" t="n">
        <f aca="false">'Purchase August 2026'!L19</f>
        <v>0</v>
      </c>
      <c r="T19" s="45" t="n">
        <f aca="false">'Purchase August 2026'!M19</f>
        <v>7156.97</v>
      </c>
      <c r="U19" s="46" t="n">
        <f aca="false">('Purchase August 2026'!N19)*1.1</f>
        <v>7872.667</v>
      </c>
      <c r="W19" s="42" t="n">
        <v>6</v>
      </c>
      <c r="X19" s="43" t="str">
        <f aca="false">'Purchase August 2026'!J35</f>
        <v>Budweiser Magnum Beer 650MLx12Btls(0217)</v>
      </c>
      <c r="Y19" s="44" t="n">
        <f aca="false">'Purchase August 2026'!K35</f>
        <v>4</v>
      </c>
      <c r="Z19" s="44" t="n">
        <f aca="false">'Purchase August 2026'!L35</f>
        <v>0</v>
      </c>
      <c r="AA19" s="45" t="n">
        <f aca="false">'Purchase August 2026'!M35</f>
        <v>2727.19</v>
      </c>
      <c r="AB19" s="46" t="n">
        <f aca="false">('Purchase August 2026'!N35)*1.1</f>
        <v>11999.636</v>
      </c>
      <c r="AD19" s="42" t="n">
        <v>6</v>
      </c>
      <c r="AE19" s="43" t="str">
        <f aca="false">'Purchase August 2026'!Q19</f>
        <v>McDowell's No.1 Supreme Special Whisky Original 180MLx48Btls(0524)</v>
      </c>
      <c r="AF19" s="44" t="n">
        <f aca="false">'Purchase August 2026'!R19</f>
        <v>1</v>
      </c>
      <c r="AG19" s="44" t="n">
        <f aca="false">'Purchase August 2026'!S19</f>
        <v>0</v>
      </c>
      <c r="AH19" s="45" t="n">
        <f aca="false">'Purchase August 2026'!T19</f>
        <v>9295.78</v>
      </c>
      <c r="AI19" s="46" t="n">
        <f aca="false">('Purchase August 2026'!U19)*1.1</f>
        <v>10225.358</v>
      </c>
      <c r="AK19" s="42" t="n">
        <v>6</v>
      </c>
      <c r="AL19" s="43" t="str">
        <f aca="false">'Purchase August 2026'!Q33</f>
        <v>Kingfisher Strong Premium Beer 330MLx24Btls(0206)</v>
      </c>
      <c r="AM19" s="44" t="n">
        <f aca="false">'Purchase August 2026'!R33</f>
        <v>1</v>
      </c>
      <c r="AN19" s="44" t="n">
        <f aca="false">'Purchase August 2026'!S33</f>
        <v>0</v>
      </c>
      <c r="AO19" s="45" t="n">
        <f aca="false">'Purchase August 2026'!T33</f>
        <v>2093.97</v>
      </c>
      <c r="AP19" s="46" t="n">
        <f aca="false">('Purchase August 2026'!U33)*1.1</f>
        <v>2303.367</v>
      </c>
      <c r="AR19" s="42" t="n">
        <v>6</v>
      </c>
      <c r="AS19" s="43" t="str">
        <f aca="false">'Purchase August 2026'!X19</f>
        <v>McDowell's No.1 Luxury Select Collection Whisky 750MLx12Btls(0524)</v>
      </c>
      <c r="AT19" s="44" t="n">
        <f aca="false">'Purchase August 2026'!Y19</f>
        <v>3</v>
      </c>
      <c r="AU19" s="44" t="n">
        <f aca="false">'Purchase August 2026'!Z19</f>
        <v>0</v>
      </c>
      <c r="AV19" s="45" t="n">
        <f aca="false">'Purchase August 2026'!AA19</f>
        <v>9628.7</v>
      </c>
      <c r="AW19" s="46" t="n">
        <f aca="false">('Purchase August 2026'!AB19)*1.1</f>
        <v>31774.71</v>
      </c>
      <c r="AY19" s="42" t="n">
        <v>6</v>
      </c>
      <c r="AZ19" s="43" t="str">
        <f aca="false">'Purchase August 2026'!X36</f>
        <v>Copenhagen Tuborg Strong Premium Beer 650MLx12Btls(0205)</v>
      </c>
      <c r="BA19" s="44" t="n">
        <f aca="false">'Purchase August 2026'!Y36</f>
        <v>10</v>
      </c>
      <c r="BB19" s="44" t="n">
        <f aca="false">'Purchase August 2026'!Z36</f>
        <v>0</v>
      </c>
      <c r="BC19" s="45" t="n">
        <f aca="false">'Purchase August 2026'!AA36</f>
        <v>1867.49</v>
      </c>
      <c r="BD19" s="46" t="n">
        <f aca="false">('Purchase August 2026'!AB36)*1.1</f>
        <v>20542.39</v>
      </c>
    </row>
    <row r="20" customFormat="false" ht="18" hidden="false" customHeight="true" outlineLevel="0" collapsed="false">
      <c r="B20" s="42" t="n">
        <v>7</v>
      </c>
      <c r="C20" s="43" t="str">
        <f aca="false">'Purchase August 2026'!C20</f>
        <v>Mcdowell's No 1 Luxury Select Collection Whisky 180MLx48Btls(0020)</v>
      </c>
      <c r="D20" s="44" t="n">
        <f aca="false">'Purchase August 2026'!D20</f>
        <v>5</v>
      </c>
      <c r="E20" s="44" t="n">
        <f aca="false">'Purchase August 2026'!E20</f>
        <v>0</v>
      </c>
      <c r="F20" s="45" t="n">
        <f aca="false">'Purchase August 2026'!F20</f>
        <v>9295.78</v>
      </c>
      <c r="G20" s="46" t="n">
        <f aca="false">('Purchase August 2026'!G20)*1.1</f>
        <v>51126.79</v>
      </c>
      <c r="I20" s="42" t="n">
        <v>7</v>
      </c>
      <c r="J20" s="43" t="str">
        <f aca="false">'Purchase August 2026'!C36</f>
        <v>Kingfisher Premium Lager Beer 650MLx12Btls(0210)</v>
      </c>
      <c r="K20" s="44" t="n">
        <f aca="false">'Purchase August 2026'!D36</f>
        <v>5</v>
      </c>
      <c r="L20" s="44" t="n">
        <f aca="false">'Purchase August 2026'!E36</f>
        <v>0</v>
      </c>
      <c r="M20" s="45" t="n">
        <f aca="false">'Purchase August 2026'!F36</f>
        <v>1187.75</v>
      </c>
      <c r="N20" s="46" t="n">
        <f aca="false">('Purchase August 2026'!G36)*1.1</f>
        <v>6532.625</v>
      </c>
      <c r="P20" s="42" t="n">
        <v>7</v>
      </c>
      <c r="Q20" s="43" t="str">
        <f aca="false">'Purchase August 2026'!J20</f>
        <v>McDowell's No.1 Luxury Select Collection Whisky 750MLx12Btls(0524)</v>
      </c>
      <c r="R20" s="44" t="n">
        <f aca="false">'Purchase August 2026'!K20</f>
        <v>1</v>
      </c>
      <c r="S20" s="44" t="n">
        <f aca="false">'Purchase August 2026'!L20</f>
        <v>0</v>
      </c>
      <c r="T20" s="45" t="n">
        <f aca="false">'Purchase August 2026'!M20</f>
        <v>9628.7</v>
      </c>
      <c r="U20" s="46" t="n">
        <f aca="false">('Purchase August 2026'!N20)*1.1</f>
        <v>10591.57</v>
      </c>
      <c r="W20" s="42" t="n">
        <v>7</v>
      </c>
      <c r="X20" s="43" t="str">
        <f aca="false">'Purchase August 2026'!J36</f>
        <v>Budweiser Magnum Premium Superior Beer 650MLx12Btls(0217)</v>
      </c>
      <c r="Y20" s="44" t="n">
        <f aca="false">'Purchase August 2026'!K36</f>
        <v>3</v>
      </c>
      <c r="Z20" s="44" t="n">
        <f aca="false">'Purchase August 2026'!L36</f>
        <v>0</v>
      </c>
      <c r="AA20" s="45" t="n">
        <f aca="false">'Purchase August 2026'!M36</f>
        <v>2727.27</v>
      </c>
      <c r="AB20" s="46" t="n">
        <f aca="false">('Purchase August 2026'!N36)*1.1</f>
        <v>8999.991</v>
      </c>
      <c r="AD20" s="42" t="n">
        <v>7</v>
      </c>
      <c r="AE20" s="43" t="str">
        <f aca="false">'Purchase August 2026'!Q20</f>
        <v>Officer's Choice Special Whisky-Aseptic Brick Pack 180MLx48ABP(0608)</v>
      </c>
      <c r="AF20" s="44" t="n">
        <f aca="false">'Purchase August 2026'!R20</f>
        <v>1</v>
      </c>
      <c r="AG20" s="44" t="n">
        <f aca="false">'Purchase August 2026'!S20</f>
        <v>0</v>
      </c>
      <c r="AH20" s="45" t="n">
        <f aca="false">'Purchase August 2026'!T20</f>
        <v>7179.32</v>
      </c>
      <c r="AI20" s="46" t="n">
        <f aca="false">('Purchase August 2026'!U20)*1.1</f>
        <v>7897.252</v>
      </c>
      <c r="AK20" s="42" t="n">
        <v>7</v>
      </c>
      <c r="AL20" s="43" t="str">
        <f aca="false">'Purchase August 2026'!Q34</f>
        <v>Kingfisher Strong Premium Beer 650MLx12Btls(0210)</v>
      </c>
      <c r="AM20" s="44" t="n">
        <f aca="false">'Purchase August 2026'!R34</f>
        <v>5</v>
      </c>
      <c r="AN20" s="44" t="n">
        <f aca="false">'Purchase August 2026'!S34</f>
        <v>0</v>
      </c>
      <c r="AO20" s="45" t="n">
        <f aca="false">'Purchase August 2026'!T34</f>
        <v>1953.04</v>
      </c>
      <c r="AP20" s="46" t="n">
        <f aca="false">('Purchase August 2026'!U34)*1.1</f>
        <v>10741.72</v>
      </c>
      <c r="AR20" s="42" t="n">
        <v>7</v>
      </c>
      <c r="AS20" s="43" t="str">
        <f aca="false">'Purchase August 2026'!X20</f>
        <v>McDowell's No.1 Supreme Special Whisky Original 180MLx48Btls(0524)</v>
      </c>
      <c r="AT20" s="44" t="n">
        <f aca="false">'Purchase August 2026'!Y20</f>
        <v>2</v>
      </c>
      <c r="AU20" s="44" t="n">
        <f aca="false">'Purchase August 2026'!Z20</f>
        <v>0</v>
      </c>
      <c r="AV20" s="45" t="n">
        <f aca="false">'Purchase August 2026'!AA20</f>
        <v>9295.78</v>
      </c>
      <c r="AW20" s="46" t="n">
        <f aca="false">('Purchase August 2026'!AB20)*1.1</f>
        <v>20450.716</v>
      </c>
      <c r="AY20" s="42" t="n">
        <v>7</v>
      </c>
      <c r="AZ20" s="43" t="str">
        <f aca="false">'Purchase August 2026'!X37</f>
        <v>Corona Extra Premium Beer 330MLx24Btls(0254)</v>
      </c>
      <c r="BA20" s="44" t="n">
        <f aca="false">'Purchase August 2026'!Y37</f>
        <v>1</v>
      </c>
      <c r="BB20" s="44" t="n">
        <f aca="false">'Purchase August 2026'!Z37</f>
        <v>0</v>
      </c>
      <c r="BC20" s="45" t="n">
        <f aca="false">'Purchase August 2026'!AA37</f>
        <v>2756.72</v>
      </c>
      <c r="BD20" s="46" t="n">
        <f aca="false">('Purchase August 2026'!AB37)*1.1</f>
        <v>3032.392</v>
      </c>
    </row>
    <row r="21" customFormat="false" ht="18" hidden="false" customHeight="true" outlineLevel="0" collapsed="false">
      <c r="B21" s="42" t="n">
        <v>8</v>
      </c>
      <c r="C21" s="43" t="str">
        <f aca="false">'Purchase August 2026'!C21</f>
        <v>Officer's Choice Special Whisky-PET 750MLx12P.Btls(0608)</v>
      </c>
      <c r="D21" s="44" t="n">
        <f aca="false">'Purchase August 2026'!D21</f>
        <v>1</v>
      </c>
      <c r="E21" s="44" t="n">
        <f aca="false">'Purchase August 2026'!E21</f>
        <v>0</v>
      </c>
      <c r="F21" s="45" t="n">
        <f aca="false">'Purchase August 2026'!F21</f>
        <v>7447.05</v>
      </c>
      <c r="G21" s="46" t="n">
        <f aca="false">('Purchase August 2026'!G21)*1.1</f>
        <v>8191.755</v>
      </c>
      <c r="I21" s="42" t="n">
        <v>8</v>
      </c>
      <c r="J21" s="43" t="str">
        <f aca="false">'Purchase August 2026'!C37</f>
        <v>Kingfisher Strong Premium Beer 330MLx24Btls(0206)</v>
      </c>
      <c r="K21" s="44" t="n">
        <f aca="false">'Purchase August 2026'!D37</f>
        <v>1</v>
      </c>
      <c r="L21" s="44" t="n">
        <f aca="false">'Purchase August 2026'!E37</f>
        <v>0</v>
      </c>
      <c r="M21" s="45" t="n">
        <f aca="false">'Purchase August 2026'!F37</f>
        <v>2093.97</v>
      </c>
      <c r="N21" s="46" t="n">
        <f aca="false">('Purchase August 2026'!G37)*1.1</f>
        <v>2303.367</v>
      </c>
      <c r="P21" s="42" t="n">
        <v>8</v>
      </c>
      <c r="Q21" s="43" t="str">
        <f aca="false">'Purchase August 2026'!J21</f>
        <v>McDowell's No.1 Supreme Special Whisky Original 180MLx48Btls(0524)</v>
      </c>
      <c r="R21" s="44" t="n">
        <f aca="false">'Purchase August 2026'!K21</f>
        <v>1</v>
      </c>
      <c r="S21" s="44" t="n">
        <f aca="false">'Purchase August 2026'!L21</f>
        <v>0</v>
      </c>
      <c r="T21" s="45" t="n">
        <f aca="false">'Purchase August 2026'!M21</f>
        <v>9295.78</v>
      </c>
      <c r="U21" s="46" t="n">
        <f aca="false">('Purchase August 2026'!N21)*1.1</f>
        <v>10225.358</v>
      </c>
      <c r="W21" s="42" t="n">
        <v>8</v>
      </c>
      <c r="X21" s="43" t="str">
        <f aca="false">'Purchase August 2026'!J37</f>
        <v>Copenhagen Tuborg Strong Premium Beer 330MLx24Btls(0205)</v>
      </c>
      <c r="Y21" s="44" t="n">
        <f aca="false">'Purchase August 2026'!K37</f>
        <v>2</v>
      </c>
      <c r="Z21" s="44" t="n">
        <f aca="false">'Purchase August 2026'!L37</f>
        <v>0</v>
      </c>
      <c r="AA21" s="45" t="n">
        <f aca="false">'Purchase August 2026'!M37</f>
        <v>2725.8</v>
      </c>
      <c r="AB21" s="46" t="n">
        <f aca="false">('Purchase August 2026'!N37)*1.1</f>
        <v>5996.76</v>
      </c>
      <c r="AD21" s="42" t="n">
        <v>8</v>
      </c>
      <c r="AE21" s="43" t="str">
        <f aca="false">'Purchase August 2026'!Q21</f>
        <v>Officer's Choice Special Whisky-PET 750MLx12P.Btls(0608)</v>
      </c>
      <c r="AF21" s="44" t="n">
        <f aca="false">'Purchase August 2026'!R21</f>
        <v>1</v>
      </c>
      <c r="AG21" s="44" t="n">
        <f aca="false">'Purchase August 2026'!S21</f>
        <v>0</v>
      </c>
      <c r="AH21" s="45" t="n">
        <f aca="false">'Purchase August 2026'!T21</f>
        <v>7447.05</v>
      </c>
      <c r="AI21" s="46" t="n">
        <f aca="false">('Purchase August 2026'!U21)*1.1</f>
        <v>8191.755</v>
      </c>
      <c r="AK21" s="42" t="n">
        <v>8</v>
      </c>
      <c r="AL21" s="43" t="str">
        <f aca="false">'Purchase August 2026'!Q35</f>
        <v>UB Export Premium Lager Beer 330MLx24Btls(0206)</v>
      </c>
      <c r="AM21" s="44" t="n">
        <f aca="false">'Purchase August 2026'!R35</f>
        <v>1</v>
      </c>
      <c r="AN21" s="44" t="n">
        <f aca="false">'Purchase August 2026'!S35</f>
        <v>0</v>
      </c>
      <c r="AO21" s="45" t="n">
        <f aca="false">'Purchase August 2026'!T35</f>
        <v>1636.01</v>
      </c>
      <c r="AP21" s="46" t="n">
        <f aca="false">('Purchase August 2026'!U35)*1.1</f>
        <v>1799.611</v>
      </c>
      <c r="AR21" s="42" t="n">
        <v>8</v>
      </c>
      <c r="AS21" s="43" t="str">
        <f aca="false">'Purchase August 2026'!X21</f>
        <v>Officer's Choice Special Whisky-Aseptic Brick Pack 180MLx48ABP(0608)</v>
      </c>
      <c r="AT21" s="44" t="n">
        <f aca="false">'Purchase August 2026'!Y21</f>
        <v>1</v>
      </c>
      <c r="AU21" s="44" t="n">
        <f aca="false">'Purchase August 2026'!Z21</f>
        <v>0</v>
      </c>
      <c r="AV21" s="45" t="n">
        <f aca="false">'Purchase August 2026'!AA21</f>
        <v>7179.32</v>
      </c>
      <c r="AW21" s="46" t="n">
        <f aca="false">('Purchase August 2026'!AB21)*1.1</f>
        <v>7897.252</v>
      </c>
      <c r="AY21" s="42" t="n">
        <v>8</v>
      </c>
      <c r="AZ21" s="43" t="str">
        <f aca="false">'Purchase August 2026'!X38</f>
        <v>Heineken Silver 100% Malt Lager Beer 650MLx12Btls(0210)</v>
      </c>
      <c r="BA21" s="44" t="n">
        <f aca="false">'Purchase August 2026'!Y38</f>
        <v>1</v>
      </c>
      <c r="BB21" s="44" t="n">
        <f aca="false">'Purchase August 2026'!Z38</f>
        <v>0</v>
      </c>
      <c r="BC21" s="45" t="n">
        <f aca="false">'Purchase August 2026'!AA38</f>
        <v>2118.99</v>
      </c>
      <c r="BD21" s="46" t="n">
        <f aca="false">('Purchase August 2026'!AB38)*1.1</f>
        <v>2330.889</v>
      </c>
    </row>
    <row r="22" customFormat="false" ht="18" hidden="false" customHeight="true" outlineLevel="0" collapsed="false">
      <c r="B22" s="42" t="n">
        <v>9</v>
      </c>
      <c r="C22" s="43" t="str">
        <f aca="false">'Purchase August 2026'!C22</f>
        <v>Seagram's Imperial Blue Select Batch Grain Whisky 180MLx48Btls(0601)</v>
      </c>
      <c r="D22" s="44" t="n">
        <f aca="false">'Purchase August 2026'!D22</f>
        <v>2</v>
      </c>
      <c r="E22" s="44" t="n">
        <f aca="false">'Purchase August 2026'!E22</f>
        <v>0</v>
      </c>
      <c r="F22" s="45" t="n">
        <f aca="false">'Purchase August 2026'!F22</f>
        <v>8726.82</v>
      </c>
      <c r="G22" s="46" t="n">
        <f aca="false">('Purchase August 2026'!G22)*1.1</f>
        <v>19199.004</v>
      </c>
      <c r="I22" s="42" t="n">
        <v>9</v>
      </c>
      <c r="J22" s="43" t="str">
        <f aca="false">'Purchase August 2026'!C38</f>
        <v>Kingfisher Strong Premium Beer 650MLx12Btls(0210)</v>
      </c>
      <c r="K22" s="44" t="n">
        <f aca="false">'Purchase August 2026'!D38</f>
        <v>5</v>
      </c>
      <c r="L22" s="44" t="n">
        <f aca="false">'Purchase August 2026'!E38</f>
        <v>0</v>
      </c>
      <c r="M22" s="45" t="n">
        <f aca="false">'Purchase August 2026'!F38</f>
        <v>1953.04</v>
      </c>
      <c r="N22" s="46" t="n">
        <f aca="false">('Purchase August 2026'!G38)*1.1</f>
        <v>10741.72</v>
      </c>
      <c r="P22" s="42" t="n">
        <v>9</v>
      </c>
      <c r="Q22" s="43" t="str">
        <f aca="false">'Purchase August 2026'!J22</f>
        <v>Officer's Choice Special Whisky-Aseptic Brick Pack 180MLx48ABP(0608)</v>
      </c>
      <c r="R22" s="44" t="n">
        <f aca="false">'Purchase August 2026'!K22</f>
        <v>1</v>
      </c>
      <c r="S22" s="44" t="n">
        <f aca="false">'Purchase August 2026'!L22</f>
        <v>0</v>
      </c>
      <c r="T22" s="45" t="n">
        <f aca="false">'Purchase August 2026'!M22</f>
        <v>7179.32</v>
      </c>
      <c r="U22" s="46" t="n">
        <f aca="false">('Purchase August 2026'!N22)*1.1</f>
        <v>7897.252</v>
      </c>
      <c r="W22" s="42" t="n">
        <v>9</v>
      </c>
      <c r="X22" s="43" t="str">
        <f aca="false">'Purchase August 2026'!J38</f>
        <v>Copenhagen Tuborg Strong Premium Beer 650MLx12Btls(0205)</v>
      </c>
      <c r="Y22" s="44" t="n">
        <f aca="false">'Purchase August 2026'!K38</f>
        <v>10</v>
      </c>
      <c r="Z22" s="44" t="n">
        <f aca="false">'Purchase August 2026'!L38</f>
        <v>0</v>
      </c>
      <c r="AA22" s="45" t="n">
        <f aca="false">'Purchase August 2026'!M38</f>
        <v>1867.49</v>
      </c>
      <c r="AB22" s="46" t="n">
        <f aca="false">('Purchase August 2026'!N38)*1.1</f>
        <v>20542.39</v>
      </c>
      <c r="AD22" s="42" t="n">
        <v>9</v>
      </c>
      <c r="AE22" s="43" t="str">
        <f aca="false">'Purchase August 2026'!Q22</f>
        <v>Seagram's Imperial Blue Select Batch Grain Whisky 180MLx48Btls(0601)</v>
      </c>
      <c r="AF22" s="44" t="n">
        <f aca="false">'Purchase August 2026'!R22</f>
        <v>2</v>
      </c>
      <c r="AG22" s="44" t="n">
        <f aca="false">'Purchase August 2026'!S22</f>
        <v>0</v>
      </c>
      <c r="AH22" s="45" t="n">
        <f aca="false">'Purchase August 2026'!T22</f>
        <v>8726.82</v>
      </c>
      <c r="AI22" s="46" t="n">
        <f aca="false">('Purchase August 2026'!U22)*1.1</f>
        <v>19199.004</v>
      </c>
      <c r="AK22" s="42" t="n">
        <v>9</v>
      </c>
      <c r="AL22" s="43" t="str">
        <f aca="false">'Purchase August 2026'!Q36</f>
        <v>UB Export Premium Lager Beer 650MLx12Btls(0210)</v>
      </c>
      <c r="AM22" s="44" t="n">
        <f aca="false">'Purchase August 2026'!R36</f>
        <v>1</v>
      </c>
      <c r="AN22" s="44" t="n">
        <f aca="false">'Purchase August 2026'!S36</f>
        <v>0</v>
      </c>
      <c r="AO22" s="45" t="n">
        <f aca="false">'Purchase August 2026'!T36</f>
        <v>1472.7</v>
      </c>
      <c r="AP22" s="46" t="n">
        <f aca="false">('Purchase August 2026'!U36)*1.1</f>
        <v>1619.97</v>
      </c>
      <c r="AR22" s="42" t="n">
        <v>9</v>
      </c>
      <c r="AS22" s="43" t="str">
        <f aca="false">'Purchase August 2026'!X22</f>
        <v>Royal Challenge Premium Select Whisky-PET 180MLx48P.Btls(0020)</v>
      </c>
      <c r="AT22" s="44" t="n">
        <f aca="false">'Purchase August 2026'!Y22</f>
        <v>1</v>
      </c>
      <c r="AU22" s="44" t="n">
        <f aca="false">'Purchase August 2026'!Z22</f>
        <v>0</v>
      </c>
      <c r="AV22" s="45" t="n">
        <f aca="false">'Purchase August 2026'!AA22</f>
        <v>12215.05</v>
      </c>
      <c r="AW22" s="46" t="n">
        <f aca="false">('Purchase August 2026'!AB22)*1.1</f>
        <v>13436.555</v>
      </c>
      <c r="AY22" s="42" t="n">
        <v>9</v>
      </c>
      <c r="AZ22" s="43" t="str">
        <f aca="false">'Purchase August 2026'!X39</f>
        <v>Kingfisher Premium Lager Beer 330MLx24Btls(0206)</v>
      </c>
      <c r="BA22" s="44" t="n">
        <f aca="false">'Purchase August 2026'!Y39</f>
        <v>1</v>
      </c>
      <c r="BB22" s="44" t="n">
        <f aca="false">'Purchase August 2026'!Z39</f>
        <v>0</v>
      </c>
      <c r="BC22" s="45" t="n">
        <f aca="false">'Purchase August 2026'!AA39</f>
        <v>1233.92</v>
      </c>
      <c r="BD22" s="46" t="n">
        <f aca="false">('Purchase August 2026'!AB39)*1.1</f>
        <v>1357.312</v>
      </c>
    </row>
    <row r="23" customFormat="false" ht="18" hidden="false" customHeight="true" outlineLevel="0" collapsed="false">
      <c r="B23" s="42" t="n">
        <v>10</v>
      </c>
      <c r="C23" s="43" t="str">
        <f aca="false">'Purchase August 2026'!C23</f>
        <v>Seagram's Imperial Blue Select Batch Grain Whisky 750MLx12Btls(0601)</v>
      </c>
      <c r="D23" s="44" t="n">
        <f aca="false">'Purchase August 2026'!D23</f>
        <v>1</v>
      </c>
      <c r="E23" s="44" t="n">
        <f aca="false">'Purchase August 2026'!E23</f>
        <v>0</v>
      </c>
      <c r="F23" s="45" t="n">
        <f aca="false">'Purchase August 2026'!F23</f>
        <v>9085.2</v>
      </c>
      <c r="G23" s="46" t="n">
        <f aca="false">('Purchase August 2026'!G23)*1.1</f>
        <v>9993.72</v>
      </c>
      <c r="I23" s="42" t="n">
        <v>10</v>
      </c>
      <c r="J23" s="43" t="str">
        <f aca="false">'Purchase August 2026'!C39</f>
        <v>Kingfisher Ultra Lager Beer 650MLx12Btls(0210)</v>
      </c>
      <c r="K23" s="44" t="n">
        <f aca="false">'Purchase August 2026'!D39</f>
        <v>3</v>
      </c>
      <c r="L23" s="44" t="n">
        <f aca="false">'Purchase August 2026'!E39</f>
        <v>0</v>
      </c>
      <c r="M23" s="45" t="n">
        <f aca="false">'Purchase August 2026'!F39</f>
        <v>1636.34</v>
      </c>
      <c r="N23" s="46" t="n">
        <f aca="false">('Purchase August 2026'!G39)*1.1</f>
        <v>5399.922</v>
      </c>
      <c r="P23" s="42" t="n">
        <v>10</v>
      </c>
      <c r="Q23" s="43" t="str">
        <f aca="false">'Purchase August 2026'!J23</f>
        <v>Seagram's Imperial Blue Select Batch Grain Whisky 180MLx48Btls(0601)</v>
      </c>
      <c r="R23" s="44" t="n">
        <f aca="false">'Purchase August 2026'!K23</f>
        <v>2</v>
      </c>
      <c r="S23" s="44" t="n">
        <f aca="false">'Purchase August 2026'!L23</f>
        <v>0</v>
      </c>
      <c r="T23" s="45" t="n">
        <f aca="false">'Purchase August 2026'!M23</f>
        <v>8726.82</v>
      </c>
      <c r="U23" s="46" t="n">
        <f aca="false">('Purchase August 2026'!N23)*1.1</f>
        <v>19199.004</v>
      </c>
      <c r="W23" s="42" t="n">
        <v>10</v>
      </c>
      <c r="X23" s="43" t="str">
        <f aca="false">'Purchase August 2026'!J39</f>
        <v>Kingfisher Premium Lager Beer 330MLx24Btls(0206)</v>
      </c>
      <c r="Y23" s="44" t="n">
        <f aca="false">'Purchase August 2026'!K39</f>
        <v>1</v>
      </c>
      <c r="Z23" s="44" t="n">
        <f aca="false">'Purchase August 2026'!L39</f>
        <v>0</v>
      </c>
      <c r="AA23" s="45" t="n">
        <f aca="false">'Purchase August 2026'!M39</f>
        <v>1233.92</v>
      </c>
      <c r="AB23" s="46" t="n">
        <f aca="false">('Purchase August 2026'!N39)*1.1</f>
        <v>1357.312</v>
      </c>
      <c r="AD23" s="42" t="n">
        <v>10</v>
      </c>
      <c r="AE23" s="43" t="str">
        <f aca="false">'Purchase August 2026'!Q23</f>
        <v>Seagram's Blenders Pride Rare Premium Whisky 180ML(0091)</v>
      </c>
      <c r="AF23" s="44" t="n">
        <f aca="false">'Purchase August 2026'!R23</f>
        <v>2</v>
      </c>
      <c r="AG23" s="44" t="n">
        <f aca="false">'Purchase August 2026'!S23</f>
        <v>0</v>
      </c>
      <c r="AH23" s="45" t="n">
        <f aca="false">'Purchase August 2026'!T23</f>
        <v>15054.42</v>
      </c>
      <c r="AI23" s="46" t="n">
        <f aca="false">('Purchase August 2026'!U23)*1.1</f>
        <v>33119.724</v>
      </c>
      <c r="AK23" s="42" t="n">
        <v>10</v>
      </c>
      <c r="AL23" s="43" t="str">
        <f aca="false">'Purchase August 2026'!Q37</f>
        <v>UB Export Strong Premium Beer 330MLx24Btls(0206)</v>
      </c>
      <c r="AM23" s="44" t="n">
        <f aca="false">'Purchase August 2026'!R37</f>
        <v>1</v>
      </c>
      <c r="AN23" s="44" t="n">
        <f aca="false">'Purchase August 2026'!S37</f>
        <v>0</v>
      </c>
      <c r="AO23" s="45" t="n">
        <f aca="false">'Purchase August 2026'!T37</f>
        <v>2017.56</v>
      </c>
      <c r="AP23" s="46" t="n">
        <f aca="false">('Purchase August 2026'!U37)*1.1</f>
        <v>2219.316</v>
      </c>
      <c r="AR23" s="42" t="n">
        <v>10</v>
      </c>
      <c r="AS23" s="43" t="str">
        <f aca="false">'Purchase August 2026'!X23</f>
        <v>Seagram's Imperial Blue Select Batch Grain Whisky 180MLx48Btls(0601)</v>
      </c>
      <c r="AT23" s="44" t="n">
        <f aca="false">'Purchase August 2026'!Y23</f>
        <v>4</v>
      </c>
      <c r="AU23" s="44" t="n">
        <f aca="false">'Purchase August 2026'!Z23</f>
        <v>0</v>
      </c>
      <c r="AV23" s="45" t="n">
        <f aca="false">'Purchase August 2026'!AA23</f>
        <v>8726.82</v>
      </c>
      <c r="AW23" s="46" t="n">
        <f aca="false">('Purchase August 2026'!AB23)*1.1</f>
        <v>38398.008</v>
      </c>
      <c r="AY23" s="42" t="n">
        <v>10</v>
      </c>
      <c r="AZ23" s="43" t="str">
        <f aca="false">'Purchase August 2026'!X40</f>
        <v>Kingfisher Premium Lager Beer 650MLx12Btls(0210)</v>
      </c>
      <c r="BA23" s="44" t="n">
        <f aca="false">'Purchase August 2026'!Y40</f>
        <v>4</v>
      </c>
      <c r="BB23" s="44" t="n">
        <f aca="false">'Purchase August 2026'!Z40</f>
        <v>0</v>
      </c>
      <c r="BC23" s="45" t="n">
        <f aca="false">'Purchase August 2026'!AA40</f>
        <v>1187.75</v>
      </c>
      <c r="BD23" s="46" t="n">
        <f aca="false">('Purchase August 2026'!AB40)*1.1</f>
        <v>5226.1</v>
      </c>
    </row>
    <row r="24" customFormat="false" ht="18" hidden="false" customHeight="true" outlineLevel="0" collapsed="false">
      <c r="B24" s="42" t="n">
        <v>11</v>
      </c>
      <c r="C24" s="43" t="str">
        <f aca="false">'Purchase August 2026'!C24</f>
        <v>Seagram's 100 Pipers Deluxe Blended Scotch Whisky 180ML(0091)</v>
      </c>
      <c r="D24" s="44" t="n">
        <f aca="false">'Purchase August 2026'!D24</f>
        <v>0</v>
      </c>
      <c r="E24" s="44" t="n">
        <f aca="false">'Purchase August 2026'!E24</f>
        <v>12</v>
      </c>
      <c r="F24" s="45" t="n">
        <f aca="false">'Purchase August 2026'!F24</f>
        <v>25308.14</v>
      </c>
      <c r="G24" s="46" t="n">
        <f aca="false">('Purchase August 2026'!G24)*1.1</f>
        <v>6959.744</v>
      </c>
      <c r="I24" s="42" t="n">
        <v>11</v>
      </c>
      <c r="J24" s="43" t="str">
        <f aca="false">'Purchase August 2026'!C40</f>
        <v>Kingfisher Ultra Max Premium Strong Beer 650MLx12Btls(0210)</v>
      </c>
      <c r="K24" s="44" t="n">
        <f aca="false">'Purchase August 2026'!D40</f>
        <v>3</v>
      </c>
      <c r="L24" s="44" t="n">
        <f aca="false">'Purchase August 2026'!E40</f>
        <v>0</v>
      </c>
      <c r="M24" s="45" t="n">
        <f aca="false">'Purchase August 2026'!F40</f>
        <v>2672.71</v>
      </c>
      <c r="N24" s="46" t="n">
        <f aca="false">('Purchase August 2026'!G40)*1.1</f>
        <v>8819.943</v>
      </c>
      <c r="P24" s="42" t="n">
        <v>11</v>
      </c>
      <c r="Q24" s="43" t="str">
        <f aca="false">'Purchase August 2026'!J24</f>
        <v>Seagram's Imperial Blue Select Batch Grain Whisky 750MLx12Btls(0601)</v>
      </c>
      <c r="R24" s="44" t="n">
        <f aca="false">'Purchase August 2026'!K24</f>
        <v>1</v>
      </c>
      <c r="S24" s="44" t="n">
        <f aca="false">'Purchase August 2026'!L24</f>
        <v>0</v>
      </c>
      <c r="T24" s="45" t="n">
        <f aca="false">'Purchase August 2026'!M24</f>
        <v>9085.2</v>
      </c>
      <c r="U24" s="46" t="n">
        <f aca="false">('Purchase August 2026'!N24)*1.1</f>
        <v>9993.72</v>
      </c>
      <c r="W24" s="42" t="n">
        <v>11</v>
      </c>
      <c r="X24" s="43" t="str">
        <f aca="false">'Purchase August 2026'!J40</f>
        <v>Kingfisher Premium Lager Beer 650MLx12Btls(0210)</v>
      </c>
      <c r="Y24" s="44" t="n">
        <f aca="false">'Purchase August 2026'!K40</f>
        <v>4</v>
      </c>
      <c r="Z24" s="44" t="n">
        <f aca="false">'Purchase August 2026'!L40</f>
        <v>0</v>
      </c>
      <c r="AA24" s="45" t="n">
        <f aca="false">'Purchase August 2026'!M40</f>
        <v>1187.75</v>
      </c>
      <c r="AB24" s="46" t="n">
        <f aca="false">('Purchase August 2026'!N40)*1.1</f>
        <v>5226.1</v>
      </c>
      <c r="AD24" s="42" t="n">
        <v>11</v>
      </c>
      <c r="AE24" s="43" t="str">
        <f aca="false">'Purchase August 2026'!Q24</f>
        <v>Seagram's Blenders Pride Rare Premium Whisky 750ML(0091)</v>
      </c>
      <c r="AF24" s="44" t="n">
        <f aca="false">'Purchase August 2026'!R24</f>
        <v>0</v>
      </c>
      <c r="AG24" s="44" t="n">
        <f aca="false">'Purchase August 2026'!S24</f>
        <v>7</v>
      </c>
      <c r="AH24" s="45" t="n">
        <f aca="false">'Purchase August 2026'!T24</f>
        <v>14508.28</v>
      </c>
      <c r="AI24" s="46" t="n">
        <f aca="false">('Purchase August 2026'!U24)*1.1</f>
        <v>9309.476</v>
      </c>
      <c r="AK24" s="42" t="n">
        <v>11</v>
      </c>
      <c r="AL24" s="43" t="str">
        <f aca="false">'Purchase August 2026'!Q38</f>
        <v>UB Export Strong Premium Beer 650MLx12Btls(0210)</v>
      </c>
      <c r="AM24" s="44" t="n">
        <f aca="false">'Purchase August 2026'!R38</f>
        <v>6</v>
      </c>
      <c r="AN24" s="44" t="n">
        <f aca="false">'Purchase August 2026'!S38</f>
        <v>0</v>
      </c>
      <c r="AO24" s="45" t="n">
        <f aca="false">'Purchase August 2026'!T38</f>
        <v>1455.84</v>
      </c>
      <c r="AP24" s="46" t="n">
        <f aca="false">('Purchase August 2026'!U38)*1.1</f>
        <v>9608.544</v>
      </c>
      <c r="AR24" s="42" t="n">
        <v>11</v>
      </c>
      <c r="AS24" s="43" t="str">
        <f aca="false">'Purchase August 2026'!X24</f>
        <v>Seagram's Imperial Blue Select Batch Grain Whisky 750MLx12Btls(0601)</v>
      </c>
      <c r="AT24" s="44" t="n">
        <f aca="false">'Purchase August 2026'!Y24</f>
        <v>1</v>
      </c>
      <c r="AU24" s="44" t="n">
        <f aca="false">'Purchase August 2026'!Z24</f>
        <v>0</v>
      </c>
      <c r="AV24" s="45" t="n">
        <f aca="false">'Purchase August 2026'!AA24</f>
        <v>9085.2</v>
      </c>
      <c r="AW24" s="46" t="n">
        <f aca="false">('Purchase August 2026'!AB24)*1.1</f>
        <v>9993.72</v>
      </c>
      <c r="AY24" s="42" t="n">
        <v>11</v>
      </c>
      <c r="AZ24" s="43" t="str">
        <f aca="false">'Purchase August 2026'!X41</f>
        <v>Kingfisher Strong Premium Beer 330MLx24Btls(0206)</v>
      </c>
      <c r="BA24" s="44" t="n">
        <f aca="false">'Purchase August 2026'!Y41</f>
        <v>1</v>
      </c>
      <c r="BB24" s="44" t="n">
        <f aca="false">'Purchase August 2026'!Z41</f>
        <v>0</v>
      </c>
      <c r="BC24" s="45" t="n">
        <f aca="false">'Purchase August 2026'!AA41</f>
        <v>2093.97</v>
      </c>
      <c r="BD24" s="46" t="n">
        <f aca="false">('Purchase August 2026'!AB41)*1.1</f>
        <v>2303.367</v>
      </c>
    </row>
    <row r="25" customFormat="false" ht="18" hidden="false" customHeight="true" outlineLevel="0" collapsed="false">
      <c r="B25" s="42" t="n">
        <v>12</v>
      </c>
      <c r="C25" s="43" t="str">
        <f aca="false">'Purchase August 2026'!C25</f>
        <v>Seagram's Blenders Pride Rare Premium Whisky 180ML(0091)</v>
      </c>
      <c r="D25" s="44" t="n">
        <f aca="false">'Purchase August 2026'!D25</f>
        <v>2</v>
      </c>
      <c r="E25" s="44" t="n">
        <f aca="false">'Purchase August 2026'!E25</f>
        <v>0</v>
      </c>
      <c r="F25" s="45" t="n">
        <f aca="false">'Purchase August 2026'!F25</f>
        <v>15054.42</v>
      </c>
      <c r="G25" s="46" t="n">
        <f aca="false">('Purchase August 2026'!G25)*1.1</f>
        <v>33119.724</v>
      </c>
      <c r="I25" s="42" t="n">
        <v>12</v>
      </c>
      <c r="J25" s="43" t="str">
        <f aca="false">'Purchase August 2026'!C41</f>
        <v>Tuborg Strong Premium Beer 650MLx12Btls(0205)</v>
      </c>
      <c r="K25" s="44" t="n">
        <f aca="false">'Purchase August 2026'!D41</f>
        <v>10</v>
      </c>
      <c r="L25" s="44" t="n">
        <f aca="false">'Purchase August 2026'!E41</f>
        <v>0</v>
      </c>
      <c r="M25" s="45" t="n">
        <f aca="false">'Purchase August 2026'!F41</f>
        <v>1809.6</v>
      </c>
      <c r="N25" s="46" t="n">
        <f aca="false">('Purchase August 2026'!G41)*1.1</f>
        <v>19905.6</v>
      </c>
      <c r="P25" s="42" t="n">
        <v>12</v>
      </c>
      <c r="Q25" s="43" t="str">
        <f aca="false">'Purchase August 2026'!J25</f>
        <v>Seagram's 100 Pipers Deluxe Blended Scotch Whisky 750ML(0091)</v>
      </c>
      <c r="R25" s="44" t="n">
        <f aca="false">'Purchase August 2026'!K25</f>
        <v>0</v>
      </c>
      <c r="S25" s="44" t="n">
        <f aca="false">'Purchase August 2026'!L25</f>
        <v>3</v>
      </c>
      <c r="T25" s="45" t="n">
        <f aca="false">'Purchase August 2026'!M25</f>
        <v>25882.17</v>
      </c>
      <c r="U25" s="46" t="n">
        <f aca="false">('Purchase August 2026'!N25)*1.1</f>
        <v>7117.594</v>
      </c>
      <c r="W25" s="42" t="n">
        <v>12</v>
      </c>
      <c r="X25" s="43" t="str">
        <f aca="false">'Purchase August 2026'!J41</f>
        <v>Kingfisher Strong Premium Beer 330MLx24Btls(0206)</v>
      </c>
      <c r="Y25" s="44" t="n">
        <f aca="false">'Purchase August 2026'!K41</f>
        <v>1</v>
      </c>
      <c r="Z25" s="44" t="n">
        <f aca="false">'Purchase August 2026'!L41</f>
        <v>0</v>
      </c>
      <c r="AA25" s="45" t="n">
        <f aca="false">'Purchase August 2026'!M41</f>
        <v>2093.97</v>
      </c>
      <c r="AB25" s="46" t="n">
        <f aca="false">('Purchase August 2026'!N41)*1.1</f>
        <v>2303.367</v>
      </c>
      <c r="AD25" s="42" t="n">
        <v>12</v>
      </c>
      <c r="AE25" s="43" t="str">
        <f aca="false">'Purchase August 2026'!Q25</f>
        <v>Seagram's Royal Stag Deluxe Whisky 180ML(0091)</v>
      </c>
      <c r="AF25" s="44" t="n">
        <f aca="false">'Purchase August 2026'!R25</f>
        <v>1</v>
      </c>
      <c r="AG25" s="44" t="n">
        <f aca="false">'Purchase August 2026'!S25</f>
        <v>0</v>
      </c>
      <c r="AH25" s="45" t="n">
        <f aca="false">'Purchase August 2026'!T25</f>
        <v>12028.12</v>
      </c>
      <c r="AI25" s="46" t="n">
        <f aca="false">('Purchase August 2026'!U25)*1.1</f>
        <v>13230.932</v>
      </c>
      <c r="AK25" s="42" t="n">
        <v>12</v>
      </c>
      <c r="AL25" s="43" t="str">
        <f aca="false">'Purchase August 2026'!Q39</f>
        <v>Budweiser Magnum Premium Superior Beer-CAN 330MLx24Cans(0217)</v>
      </c>
      <c r="AM25" s="44" t="n">
        <f aca="false">'Purchase August 2026'!R39</f>
        <v>1</v>
      </c>
      <c r="AN25" s="44" t="n">
        <f aca="false">'Purchase August 2026'!S39</f>
        <v>0</v>
      </c>
      <c r="AO25" s="45" t="n">
        <f aca="false">'Purchase August 2026'!T39</f>
        <v>2181.82</v>
      </c>
      <c r="AP25" s="46" t="n">
        <f aca="false">('Purchase August 2026'!U39)*1.1</f>
        <v>2400.002</v>
      </c>
      <c r="AR25" s="42" t="n">
        <v>12</v>
      </c>
      <c r="AS25" s="43" t="str">
        <f aca="false">'Purchase August 2026'!X25</f>
        <v>Seagram's 100 Pipers Deluxe Blended Scotch Whisky 180ML(0091)</v>
      </c>
      <c r="AT25" s="44" t="n">
        <f aca="false">'Purchase August 2026'!Y25</f>
        <v>0</v>
      </c>
      <c r="AU25" s="44" t="n">
        <f aca="false">'Purchase August 2026'!Z25</f>
        <v>24</v>
      </c>
      <c r="AV25" s="45" t="n">
        <f aca="false">'Purchase August 2026'!AA25</f>
        <v>25308.14</v>
      </c>
      <c r="AW25" s="46" t="n">
        <f aca="false">('Purchase August 2026'!AB25)*1.1</f>
        <v>13919.477</v>
      </c>
      <c r="AY25" s="42" t="n">
        <v>12</v>
      </c>
      <c r="AZ25" s="43" t="str">
        <f aca="false">'Purchase August 2026'!X42</f>
        <v>Kingfisher Strong Premium Beer 650MLx12Btls(0210)</v>
      </c>
      <c r="BA25" s="44" t="n">
        <f aca="false">'Purchase August 2026'!Y42</f>
        <v>8</v>
      </c>
      <c r="BB25" s="44" t="n">
        <f aca="false">'Purchase August 2026'!Z42</f>
        <v>0</v>
      </c>
      <c r="BC25" s="45" t="n">
        <f aca="false">'Purchase August 2026'!AA42</f>
        <v>1953.04</v>
      </c>
      <c r="BD25" s="46" t="n">
        <f aca="false">('Purchase August 2026'!AB42)*1.1</f>
        <v>17186.752</v>
      </c>
    </row>
    <row r="26" customFormat="false" ht="18" hidden="false" customHeight="true" outlineLevel="0" collapsed="false">
      <c r="B26" s="42" t="n">
        <v>13</v>
      </c>
      <c r="C26" s="43" t="str">
        <f aca="false">'Purchase August 2026'!C26</f>
        <v>Seagram's Blenders Pride Rare Premium Whisky 750ML(0091)</v>
      </c>
      <c r="D26" s="44" t="n">
        <f aca="false">'Purchase August 2026'!D26</f>
        <v>0</v>
      </c>
      <c r="E26" s="44" t="n">
        <f aca="false">'Purchase August 2026'!E26</f>
        <v>6</v>
      </c>
      <c r="F26" s="45" t="n">
        <f aca="false">'Purchase August 2026'!F26</f>
        <v>14508.28</v>
      </c>
      <c r="G26" s="46" t="n">
        <f aca="false">('Purchase August 2026'!G26)*1.1</f>
        <v>7979.554</v>
      </c>
      <c r="I26" s="42" t="n">
        <v>13</v>
      </c>
      <c r="J26" s="43" t="str">
        <f aca="false">'Purchase August 2026'!C42</f>
        <v>UB Export Strong Premium Beer 330MLx24Btls(0206)</v>
      </c>
      <c r="K26" s="44" t="n">
        <f aca="false">'Purchase August 2026'!D42</f>
        <v>1</v>
      </c>
      <c r="L26" s="44" t="n">
        <f aca="false">'Purchase August 2026'!E42</f>
        <v>0</v>
      </c>
      <c r="M26" s="45" t="n">
        <f aca="false">'Purchase August 2026'!F42</f>
        <v>2017.56</v>
      </c>
      <c r="N26" s="46" t="n">
        <f aca="false">('Purchase August 2026'!G42)*1.1</f>
        <v>2219.316</v>
      </c>
      <c r="P26" s="42" t="n">
        <v>13</v>
      </c>
      <c r="Q26" s="43" t="str">
        <f aca="false">'Purchase August 2026'!J26</f>
        <v>Seagram's Blenders Pride Rare Premium Whisky 750ML(0091)</v>
      </c>
      <c r="R26" s="44" t="n">
        <f aca="false">'Purchase August 2026'!K26</f>
        <v>0</v>
      </c>
      <c r="S26" s="44" t="n">
        <f aca="false">'Purchase August 2026'!L26</f>
        <v>6</v>
      </c>
      <c r="T26" s="45" t="n">
        <f aca="false">'Purchase August 2026'!M26</f>
        <v>14508.28</v>
      </c>
      <c r="U26" s="46" t="n">
        <f aca="false">('Purchase August 2026'!N26)*1.1</f>
        <v>7979.554</v>
      </c>
      <c r="W26" s="42" t="n">
        <v>13</v>
      </c>
      <c r="X26" s="43" t="str">
        <f aca="false">'Purchase August 2026'!J42</f>
        <v>Kingfisher Ultra Max Premium Strong Beer 650MLx12Btls(0210)</v>
      </c>
      <c r="Y26" s="44" t="n">
        <f aca="false">'Purchase August 2026'!K42</f>
        <v>1</v>
      </c>
      <c r="Z26" s="44" t="n">
        <f aca="false">'Purchase August 2026'!L42</f>
        <v>0</v>
      </c>
      <c r="AA26" s="45" t="n">
        <f aca="false">'Purchase August 2026'!M42</f>
        <v>2672.71</v>
      </c>
      <c r="AB26" s="46" t="n">
        <f aca="false">('Purchase August 2026'!N42)*1.1</f>
        <v>2939.981</v>
      </c>
      <c r="AD26" s="42" t="n">
        <v>13</v>
      </c>
      <c r="AE26" s="43" t="str">
        <f aca="false">'Purchase August 2026'!Q26</f>
        <v>Old Monk Very Old Vatted Special XXX Rum-Aseptic Brick Pack 180MLx48ABP(0532)</v>
      </c>
      <c r="AF26" s="44" t="n">
        <f aca="false">'Purchase August 2026'!R26</f>
        <v>1</v>
      </c>
      <c r="AG26" s="44" t="n">
        <f aca="false">'Purchase August 2026'!S26</f>
        <v>0</v>
      </c>
      <c r="AH26" s="45" t="n">
        <f aca="false">'Purchase August 2026'!T26</f>
        <v>7629.11</v>
      </c>
      <c r="AI26" s="46" t="n">
        <f aca="false">('Purchase August 2026'!U26)*1.1</f>
        <v>8392.021</v>
      </c>
      <c r="AK26" s="42" t="n">
        <v>13</v>
      </c>
      <c r="AL26" s="43" t="str">
        <f aca="false">'Purchase August 2026'!Q40</f>
        <v>Budweiser Premium King of Beers-CAN 500MLx24Cans(0217)</v>
      </c>
      <c r="AM26" s="44" t="n">
        <f aca="false">'Purchase August 2026'!R40</f>
        <v>1</v>
      </c>
      <c r="AN26" s="44" t="n">
        <f aca="false">'Purchase August 2026'!S40</f>
        <v>0</v>
      </c>
      <c r="AO26" s="45" t="n">
        <f aca="false">'Purchase August 2026'!T40</f>
        <v>3439.88</v>
      </c>
      <c r="AP26" s="46" t="n">
        <f aca="false">('Purchase August 2026'!U40)*1.1</f>
        <v>3783.868</v>
      </c>
      <c r="AR26" s="42" t="n">
        <v>13</v>
      </c>
      <c r="AS26" s="43" t="str">
        <f aca="false">'Purchase August 2026'!X26</f>
        <v>Seagram's Blenders Pride Rare Premium Whisky 180ML(0091)</v>
      </c>
      <c r="AT26" s="44" t="n">
        <f aca="false">'Purchase August 2026'!Y26</f>
        <v>1</v>
      </c>
      <c r="AU26" s="44" t="n">
        <f aca="false">'Purchase August 2026'!Z26</f>
        <v>0</v>
      </c>
      <c r="AV26" s="45" t="n">
        <f aca="false">'Purchase August 2026'!AA26</f>
        <v>15054.42</v>
      </c>
      <c r="AW26" s="46" t="n">
        <f aca="false">('Purchase August 2026'!AB26)*1.1</f>
        <v>16559.862</v>
      </c>
      <c r="AY26" s="42" t="n">
        <v>13</v>
      </c>
      <c r="AZ26" s="43" t="str">
        <f aca="false">'Purchase August 2026'!X43</f>
        <v>Kingfisher Ultra Max Premium Strong Beer 650MLx12Btls(0210)</v>
      </c>
      <c r="BA26" s="44" t="n">
        <f aca="false">'Purchase August 2026'!Y43</f>
        <v>1</v>
      </c>
      <c r="BB26" s="44" t="n">
        <f aca="false">'Purchase August 2026'!Z43</f>
        <v>0</v>
      </c>
      <c r="BC26" s="45" t="n">
        <f aca="false">'Purchase August 2026'!AA43</f>
        <v>2672.71</v>
      </c>
      <c r="BD26" s="46" t="n">
        <f aca="false">('Purchase August 2026'!AB43)*1.1</f>
        <v>2939.981</v>
      </c>
    </row>
    <row r="27" customFormat="false" ht="18" hidden="false" customHeight="true" outlineLevel="0" collapsed="false">
      <c r="B27" s="42" t="n">
        <v>14</v>
      </c>
      <c r="C27" s="43" t="str">
        <f aca="false">'Purchase August 2026'!C27</f>
        <v>Seagram's Royal Stag Deluxe Whisky 180ML(0091)</v>
      </c>
      <c r="D27" s="44" t="n">
        <f aca="false">'Purchase August 2026'!D27</f>
        <v>1</v>
      </c>
      <c r="E27" s="44" t="n">
        <f aca="false">'Purchase August 2026'!E27</f>
        <v>0</v>
      </c>
      <c r="F27" s="45" t="n">
        <f aca="false">'Purchase August 2026'!F27</f>
        <v>12028.12</v>
      </c>
      <c r="G27" s="46" t="n">
        <f aca="false">('Purchase August 2026'!G27)*1.1</f>
        <v>13230.932</v>
      </c>
      <c r="I27" s="42" t="n">
        <v>14</v>
      </c>
      <c r="J27" s="43" t="str">
        <f aca="false">'Purchase August 2026'!C43</f>
        <v>UB Export Strong Premium Beer 650MLx12Btls(0206)</v>
      </c>
      <c r="K27" s="44" t="n">
        <f aca="false">'Purchase August 2026'!D43</f>
        <v>10</v>
      </c>
      <c r="L27" s="44" t="n">
        <f aca="false">'Purchase August 2026'!E43</f>
        <v>0</v>
      </c>
      <c r="M27" s="45" t="n">
        <f aca="false">'Purchase August 2026'!F43</f>
        <v>1455.84</v>
      </c>
      <c r="N27" s="46" t="n">
        <f aca="false">('Purchase August 2026'!G43)*1.1</f>
        <v>16014.24</v>
      </c>
      <c r="P27" s="42" t="n">
        <v>14</v>
      </c>
      <c r="Q27" s="43" t="str">
        <f aca="false">'Purchase August 2026'!J27</f>
        <v>Seagram's Royal Stag Deluxe Whisky 180ML(0091)</v>
      </c>
      <c r="R27" s="44" t="n">
        <f aca="false">'Purchase August 2026'!K27</f>
        <v>1</v>
      </c>
      <c r="S27" s="44" t="n">
        <f aca="false">'Purchase August 2026'!L27</f>
        <v>0</v>
      </c>
      <c r="T27" s="45" t="n">
        <f aca="false">'Purchase August 2026'!M27</f>
        <v>12028.12</v>
      </c>
      <c r="U27" s="46" t="n">
        <f aca="false">('Purchase August 2026'!N27)*1.1</f>
        <v>13230.932</v>
      </c>
      <c r="W27" s="42" t="n">
        <v>14</v>
      </c>
      <c r="X27" s="43" t="str">
        <f aca="false">'Purchase August 2026'!J43</f>
        <v>UB Export Strong Premium Beer 330MLx24Btls(0206)</v>
      </c>
      <c r="Y27" s="44" t="n">
        <f aca="false">'Purchase August 2026'!K43</f>
        <v>1</v>
      </c>
      <c r="Z27" s="44" t="n">
        <f aca="false">'Purchase August 2026'!L43</f>
        <v>0</v>
      </c>
      <c r="AA27" s="45" t="n">
        <f aca="false">'Purchase August 2026'!M43</f>
        <v>2017.56</v>
      </c>
      <c r="AB27" s="46" t="n">
        <f aca="false">('Purchase August 2026'!N43)*1.1</f>
        <v>2219.316</v>
      </c>
      <c r="AD27" s="42" t="n">
        <v>14</v>
      </c>
      <c r="AE27" s="43" t="str">
        <f aca="false">'Purchase August 2026'!Q27</f>
        <v>Magic Moments Remix Flavoured Vodka ORANGE 180ML(0502)</v>
      </c>
      <c r="AF27" s="44" t="n">
        <f aca="false">'Purchase August 2026'!R27</f>
        <v>0</v>
      </c>
      <c r="AG27" s="44" t="n">
        <f aca="false">'Purchase August 2026'!S27</f>
        <v>24</v>
      </c>
      <c r="AH27" s="45" t="n">
        <f aca="false">'Purchase August 2026'!T27</f>
        <v>11500.22</v>
      </c>
      <c r="AI27" s="46" t="n">
        <f aca="false">('Purchase August 2026'!U27)*1.1</f>
        <v>6325.121</v>
      </c>
      <c r="AK27" s="56"/>
      <c r="AL27" s="57" t="s">
        <v>90</v>
      </c>
      <c r="AM27" s="58" t="n">
        <f aca="false">SUM(AM14:AM26)</f>
        <v>34</v>
      </c>
      <c r="AN27" s="58" t="n">
        <f aca="false">SUM(AN14:AN26)</f>
        <v>0</v>
      </c>
      <c r="AO27" s="59"/>
      <c r="AP27" s="51" t="n">
        <f aca="false">SUM(AP14:AP26)</f>
        <v>69203.288</v>
      </c>
      <c r="AR27" s="42" t="n">
        <v>14</v>
      </c>
      <c r="AS27" s="43" t="str">
        <f aca="false">'Purchase August 2026'!X27</f>
        <v>Seagram's Royal Stag Deluxe Whisky 180ML(0091)</v>
      </c>
      <c r="AT27" s="44" t="n">
        <f aca="false">'Purchase August 2026'!Y27</f>
        <v>1</v>
      </c>
      <c r="AU27" s="44" t="n">
        <f aca="false">'Purchase August 2026'!Z27</f>
        <v>0</v>
      </c>
      <c r="AV27" s="45" t="n">
        <f aca="false">'Purchase August 2026'!AA27</f>
        <v>12028.12</v>
      </c>
      <c r="AW27" s="46" t="n">
        <f aca="false">('Purchase August 2026'!AB27)*1.1</f>
        <v>13230.932</v>
      </c>
      <c r="AY27" s="42" t="n">
        <v>14</v>
      </c>
      <c r="AZ27" s="43" t="str">
        <f aca="false">'Purchase August 2026'!X44</f>
        <v>UB Export Strong Premium Beer 330MLx24Btls(0206)</v>
      </c>
      <c r="BA27" s="44" t="n">
        <f aca="false">'Purchase August 2026'!Y44</f>
        <v>1</v>
      </c>
      <c r="BB27" s="44" t="n">
        <f aca="false">'Purchase August 2026'!Z44</f>
        <v>0</v>
      </c>
      <c r="BC27" s="45" t="n">
        <f aca="false">'Purchase August 2026'!AA44</f>
        <v>2017.56</v>
      </c>
      <c r="BD27" s="46" t="n">
        <f aca="false">('Purchase August 2026'!AB44)*1.1</f>
        <v>2219.316</v>
      </c>
    </row>
    <row r="28" customFormat="false" ht="18" hidden="false" customHeight="true" outlineLevel="0" collapsed="false">
      <c r="B28" s="42" t="n">
        <v>15</v>
      </c>
      <c r="C28" s="43" t="str">
        <f aca="false">'Purchase August 2026'!C28</f>
        <v>Seagram's Royal Stag Deluxe Whisky 750ML(0091)</v>
      </c>
      <c r="D28" s="44" t="n">
        <f aca="false">'Purchase August 2026'!D28</f>
        <v>0</v>
      </c>
      <c r="E28" s="44" t="n">
        <f aca="false">'Purchase August 2026'!E28</f>
        <v>6</v>
      </c>
      <c r="F28" s="45" t="n">
        <f aca="false">'Purchase August 2026'!F28</f>
        <v>12453.96</v>
      </c>
      <c r="G28" s="46" t="n">
        <f aca="false">('Purchase August 2026'!G28)*1.1</f>
        <v>6849.678</v>
      </c>
      <c r="I28" s="42" t="n">
        <v>15</v>
      </c>
      <c r="J28" s="43" t="str">
        <f aca="false">'Purchase August 2026'!C44</f>
        <v>Budweiser Magnum Beer-CAN 500MLx24Cans(0217)</v>
      </c>
      <c r="K28" s="44" t="n">
        <f aca="false">'Purchase August 2026'!D44</f>
        <v>1</v>
      </c>
      <c r="L28" s="44" t="n">
        <f aca="false">'Purchase August 2026'!E44</f>
        <v>0</v>
      </c>
      <c r="M28" s="45" t="n">
        <f aca="false">'Purchase August 2026'!F44</f>
        <v>4279.99</v>
      </c>
      <c r="N28" s="46" t="n">
        <f aca="false">('Purchase August 2026'!G44)*1.1</f>
        <v>4707.989</v>
      </c>
      <c r="P28" s="42" t="n">
        <v>15</v>
      </c>
      <c r="Q28" s="43" t="str">
        <f aca="false">'Purchase August 2026'!J28</f>
        <v>Seagram's Royal Stag Deluxe Whisky 750ML(0091)</v>
      </c>
      <c r="R28" s="44" t="n">
        <f aca="false">'Purchase August 2026'!K28</f>
        <v>0</v>
      </c>
      <c r="S28" s="44" t="n">
        <f aca="false">'Purchase August 2026'!L28</f>
        <v>6</v>
      </c>
      <c r="T28" s="45" t="n">
        <f aca="false">'Purchase August 2026'!M28</f>
        <v>12453.96</v>
      </c>
      <c r="U28" s="46" t="n">
        <f aca="false">('Purchase August 2026'!N28)*1.1</f>
        <v>6849.678</v>
      </c>
      <c r="W28" s="42" t="n">
        <v>15</v>
      </c>
      <c r="X28" s="43" t="str">
        <f aca="false">'Purchase August 2026'!J44</f>
        <v>UB Export Strong Premium Beer 650MLx12Btls(0210)</v>
      </c>
      <c r="Y28" s="44" t="n">
        <f aca="false">'Purchase August 2026'!K44</f>
        <v>10</v>
      </c>
      <c r="Z28" s="44" t="n">
        <f aca="false">'Purchase August 2026'!L44</f>
        <v>0</v>
      </c>
      <c r="AA28" s="45" t="n">
        <f aca="false">'Purchase August 2026'!M44</f>
        <v>1455.84</v>
      </c>
      <c r="AB28" s="46" t="n">
        <f aca="false">('Purchase August 2026'!N44)*1.1</f>
        <v>16014.24</v>
      </c>
      <c r="AD28" s="56"/>
      <c r="AE28" s="57" t="s">
        <v>90</v>
      </c>
      <c r="AF28" s="58" t="n">
        <f aca="false">SUM(AF14:AF27)</f>
        <v>16</v>
      </c>
      <c r="AG28" s="58" t="n">
        <f aca="false">SUM(AG14:AG27)</f>
        <v>31</v>
      </c>
      <c r="AH28" s="59"/>
      <c r="AI28" s="51" t="n">
        <f aca="false">SUM(AI14:AI27)</f>
        <v>179434.222</v>
      </c>
      <c r="AR28" s="42" t="n">
        <v>15</v>
      </c>
      <c r="AS28" s="43" t="str">
        <f aca="false">'Purchase August 2026'!X28</f>
        <v>TI Mansion House Premium French Brandy 180MLx48Btls(0542)</v>
      </c>
      <c r="AT28" s="44" t="n">
        <f aca="false">'Purchase August 2026'!Y28</f>
        <v>1</v>
      </c>
      <c r="AU28" s="44" t="n">
        <f aca="false">'Purchase August 2026'!Z28</f>
        <v>0</v>
      </c>
      <c r="AV28" s="45" t="n">
        <f aca="false">'Purchase August 2026'!AA28</f>
        <v>8774.05</v>
      </c>
      <c r="AW28" s="46" t="n">
        <f aca="false">('Purchase August 2026'!AB28)*1.1</f>
        <v>9651.455</v>
      </c>
      <c r="AY28" s="42" t="n">
        <v>15</v>
      </c>
      <c r="AZ28" s="43" t="str">
        <f aca="false">'Purchase August 2026'!X45</f>
        <v>UB Export Strong Premium Beer 650MLx12Btls(0210)</v>
      </c>
      <c r="BA28" s="44" t="n">
        <f aca="false">'Purchase August 2026'!Y45</f>
        <v>10</v>
      </c>
      <c r="BB28" s="44" t="n">
        <f aca="false">'Purchase August 2026'!Z45</f>
        <v>0</v>
      </c>
      <c r="BC28" s="45" t="n">
        <f aca="false">'Purchase August 2026'!AA45</f>
        <v>1455.84</v>
      </c>
      <c r="BD28" s="46" t="n">
        <f aca="false">('Purchase August 2026'!AB45)*1.1</f>
        <v>16014.24</v>
      </c>
    </row>
    <row r="29" customFormat="false" ht="18" hidden="false" customHeight="true" outlineLevel="0" collapsed="false">
      <c r="B29" s="42" t="n">
        <v>16</v>
      </c>
      <c r="C29" s="43" t="str">
        <f aca="false">'Purchase August 2026'!C29</f>
        <v>Signature Rare Aged Whisky 750ml(0020)</v>
      </c>
      <c r="D29" s="44" t="n">
        <f aca="false">'Purchase August 2026'!D29</f>
        <v>0</v>
      </c>
      <c r="E29" s="44" t="n">
        <f aca="false">'Purchase August 2026'!E29</f>
        <v>3</v>
      </c>
      <c r="F29" s="45" t="n">
        <f aca="false">'Purchase August 2026'!F29</f>
        <v>14467.88</v>
      </c>
      <c r="G29" s="46" t="n">
        <f aca="false">('Purchase August 2026'!G29)*1.1</f>
        <v>3978.667</v>
      </c>
      <c r="I29" s="42" t="n">
        <v>16</v>
      </c>
      <c r="J29" s="43" t="str">
        <f aca="false">'Purchase August 2026'!C45</f>
        <v>Budweiser Premium King of Beers-CAN 500MLx24Cans(0217)</v>
      </c>
      <c r="K29" s="44" t="n">
        <f aca="false">'Purchase August 2026'!D45</f>
        <v>1</v>
      </c>
      <c r="L29" s="44" t="n">
        <f aca="false">'Purchase August 2026'!E45</f>
        <v>0</v>
      </c>
      <c r="M29" s="45" t="n">
        <f aca="false">'Purchase August 2026'!F45</f>
        <v>3439.88</v>
      </c>
      <c r="N29" s="46" t="n">
        <f aca="false">('Purchase August 2026'!G45)*1.1</f>
        <v>3783.868</v>
      </c>
      <c r="P29" s="42" t="n">
        <v>16</v>
      </c>
      <c r="Q29" s="43" t="str">
        <f aca="false">'Purchase August 2026'!J29</f>
        <v>TI Mansion House Premium French Brandy 180MLx48Btls(0542)</v>
      </c>
      <c r="R29" s="44" t="n">
        <f aca="false">'Purchase August 2026'!K29</f>
        <v>1</v>
      </c>
      <c r="S29" s="44" t="n">
        <f aca="false">'Purchase August 2026'!L29</f>
        <v>0</v>
      </c>
      <c r="T29" s="45" t="n">
        <f aca="false">'Purchase August 2026'!M29</f>
        <v>8774.05</v>
      </c>
      <c r="U29" s="46" t="n">
        <f aca="false">('Purchase August 2026'!N29)*1.1</f>
        <v>9651.455</v>
      </c>
      <c r="W29" s="56"/>
      <c r="X29" s="57" t="s">
        <v>90</v>
      </c>
      <c r="Y29" s="58" t="n">
        <f aca="false">SUM(Y14:Y28)</f>
        <v>40</v>
      </c>
      <c r="Z29" s="58" t="n">
        <f aca="false">SUM(Z14:Z28)</f>
        <v>15</v>
      </c>
      <c r="AA29" s="59"/>
      <c r="AB29" s="51" t="n">
        <f aca="false">SUM(AB14:AB28)</f>
        <v>110089.265</v>
      </c>
      <c r="AR29" s="42" t="n">
        <v>16</v>
      </c>
      <c r="AS29" s="43" t="str">
        <f aca="false">'Purchase August 2026'!X29</f>
        <v>TI Mansion House Premium French Brandy 750MLx12Btls(0542)</v>
      </c>
      <c r="AT29" s="44" t="n">
        <f aca="false">'Purchase August 2026'!Y29</f>
        <v>1</v>
      </c>
      <c r="AU29" s="44" t="n">
        <f aca="false">'Purchase August 2026'!Z29</f>
        <v>0</v>
      </c>
      <c r="AV29" s="45" t="n">
        <f aca="false">'Purchase August 2026'!AA29</f>
        <v>9085.2</v>
      </c>
      <c r="AW29" s="46" t="n">
        <f aca="false">('Purchase August 2026'!AB29)*1.1</f>
        <v>9993.72</v>
      </c>
      <c r="AY29" s="42" t="n">
        <v>16</v>
      </c>
      <c r="AZ29" s="43" t="str">
        <f aca="false">'Purchase August 2026'!X46</f>
        <v>Budweiser Magnum Beer-CAN 500MLx24Cans(0217)</v>
      </c>
      <c r="BA29" s="44" t="n">
        <f aca="false">'Purchase August 2026'!Y46</f>
        <v>1</v>
      </c>
      <c r="BB29" s="44" t="n">
        <f aca="false">'Purchase August 2026'!Z46</f>
        <v>0</v>
      </c>
      <c r="BC29" s="45" t="n">
        <f aca="false">'Purchase August 2026'!AA46</f>
        <v>4279.99</v>
      </c>
      <c r="BD29" s="46" t="n">
        <f aca="false">('Purchase August 2026'!AB46)*1.1</f>
        <v>4707.989</v>
      </c>
    </row>
    <row r="30" customFormat="false" ht="18" hidden="false" customHeight="true" outlineLevel="0" collapsed="false">
      <c r="B30" s="56"/>
      <c r="C30" s="57" t="s">
        <v>90</v>
      </c>
      <c r="D30" s="58" t="n">
        <f aca="false">SUM(D14:D29)</f>
        <v>17</v>
      </c>
      <c r="E30" s="58" t="n">
        <f aca="false">SUM(E14:E29)</f>
        <v>75</v>
      </c>
      <c r="F30" s="59"/>
      <c r="G30" s="51" t="n">
        <f aca="false">SUM(G14:G29)</f>
        <v>211674.705</v>
      </c>
      <c r="I30" s="56"/>
      <c r="J30" s="57" t="s">
        <v>90</v>
      </c>
      <c r="K30" s="58" t="n">
        <f aca="false">SUM(K14:K29)</f>
        <v>46</v>
      </c>
      <c r="L30" s="58" t="n">
        <f aca="false">SUM(L14:L29)</f>
        <v>6</v>
      </c>
      <c r="M30" s="59"/>
      <c r="N30" s="51" t="n">
        <f aca="false">SUM(N14:N29)</f>
        <v>109071.083</v>
      </c>
      <c r="P30" s="56"/>
      <c r="Q30" s="57" t="s">
        <v>90</v>
      </c>
      <c r="R30" s="58" t="n">
        <f aca="false">SUM(R14:R29)</f>
        <v>12</v>
      </c>
      <c r="S30" s="58" t="n">
        <f aca="false">SUM(S14:S29)</f>
        <v>42</v>
      </c>
      <c r="T30" s="59"/>
      <c r="U30" s="51" t="n">
        <f aca="false">SUM(U14:U29)</f>
        <v>144846.163</v>
      </c>
      <c r="AR30" s="42" t="n">
        <v>17</v>
      </c>
      <c r="AS30" s="43" t="str">
        <f aca="false">'Purchase August 2026'!X30</f>
        <v>Hercules Old Matured Deluxe 3x Rum 750Ml(0003)</v>
      </c>
      <c r="AT30" s="44" t="n">
        <f aca="false">'Purchase August 2026'!Y30</f>
        <v>0</v>
      </c>
      <c r="AU30" s="44" t="n">
        <f aca="false">'Purchase August 2026'!Z30</f>
        <v>6</v>
      </c>
      <c r="AV30" s="45" t="n">
        <f aca="false">'Purchase August 2026'!AA30</f>
        <v>12635.87</v>
      </c>
      <c r="AW30" s="46" t="n">
        <f aca="false">('Purchase August 2026'!AB30)*1.1</f>
        <v>6949.734</v>
      </c>
      <c r="AY30" s="56"/>
      <c r="AZ30" s="57" t="s">
        <v>90</v>
      </c>
      <c r="BA30" s="58" t="n">
        <f aca="false">SUM(BA14:BA29)</f>
        <v>49</v>
      </c>
      <c r="BB30" s="58" t="n">
        <f aca="false">SUM(BB14:BB29)</f>
        <v>0</v>
      </c>
      <c r="BC30" s="59"/>
      <c r="BD30" s="51" t="n">
        <f aca="false">SUM(BD14:BD29)</f>
        <v>119089.762</v>
      </c>
    </row>
    <row r="31" customFormat="false" ht="18" hidden="false" customHeight="true" outlineLevel="0" collapsed="false">
      <c r="AR31" s="56"/>
      <c r="AS31" s="57" t="s">
        <v>90</v>
      </c>
      <c r="AT31" s="58" t="n">
        <f aca="false">SUM(AT14:AT30)</f>
        <v>21</v>
      </c>
      <c r="AU31" s="58" t="n">
        <f aca="false">SUM(AU14:AU30)</f>
        <v>57</v>
      </c>
      <c r="AV31" s="59"/>
      <c r="AW31" s="51" t="n">
        <f aca="false">SUM(AW14:AW30)</f>
        <v>255073.17</v>
      </c>
    </row>
  </sheetData>
  <mergeCells count="128">
    <mergeCell ref="B3:G3"/>
    <mergeCell ref="I3:N3"/>
    <mergeCell ref="P3:U3"/>
    <mergeCell ref="W3:AB3"/>
    <mergeCell ref="AD3:AI3"/>
    <mergeCell ref="AK3:AP3"/>
    <mergeCell ref="AR3:AW3"/>
    <mergeCell ref="AY3:BD3"/>
    <mergeCell ref="B4:G4"/>
    <mergeCell ref="I4:N4"/>
    <mergeCell ref="P4:U4"/>
    <mergeCell ref="W4:AB4"/>
    <mergeCell ref="AD4:AI4"/>
    <mergeCell ref="AK4:AP4"/>
    <mergeCell ref="AR4:AW4"/>
    <mergeCell ref="AY4:BD4"/>
    <mergeCell ref="B5:G5"/>
    <mergeCell ref="I5:N5"/>
    <mergeCell ref="P5:U5"/>
    <mergeCell ref="W5:AB5"/>
    <mergeCell ref="AD5:AI5"/>
    <mergeCell ref="AK5:AP5"/>
    <mergeCell ref="AR5:AW5"/>
    <mergeCell ref="AY5:BD5"/>
    <mergeCell ref="B6:C6"/>
    <mergeCell ref="E6:G6"/>
    <mergeCell ref="I6:J6"/>
    <mergeCell ref="L6:N6"/>
    <mergeCell ref="P6:Q6"/>
    <mergeCell ref="S6:U6"/>
    <mergeCell ref="W6:X6"/>
    <mergeCell ref="Z6:AB6"/>
    <mergeCell ref="AD6:AE6"/>
    <mergeCell ref="AG6:AI6"/>
    <mergeCell ref="AK6:AL6"/>
    <mergeCell ref="AN6:AP6"/>
    <mergeCell ref="AR6:AS6"/>
    <mergeCell ref="AU6:AW6"/>
    <mergeCell ref="AY6:AZ6"/>
    <mergeCell ref="BB6:BD6"/>
    <mergeCell ref="B7:G7"/>
    <mergeCell ref="I7:N7"/>
    <mergeCell ref="P7:U7"/>
    <mergeCell ref="W7:AB7"/>
    <mergeCell ref="AD7:AI7"/>
    <mergeCell ref="AK7:AP7"/>
    <mergeCell ref="AR7:AW7"/>
    <mergeCell ref="AY7:BD7"/>
    <mergeCell ref="B8:C8"/>
    <mergeCell ref="D8:G8"/>
    <mergeCell ref="I8:J8"/>
    <mergeCell ref="K8:N8"/>
    <mergeCell ref="P8:Q8"/>
    <mergeCell ref="R8:U8"/>
    <mergeCell ref="W8:X8"/>
    <mergeCell ref="Y8:AB8"/>
    <mergeCell ref="AD8:AE8"/>
    <mergeCell ref="AF8:AI8"/>
    <mergeCell ref="AK8:AL8"/>
    <mergeCell ref="AM8:AP8"/>
    <mergeCell ref="AR8:AS8"/>
    <mergeCell ref="AT8:AW8"/>
    <mergeCell ref="AY8:AZ8"/>
    <mergeCell ref="BA8:BD8"/>
    <mergeCell ref="B9:C9"/>
    <mergeCell ref="D9:G9"/>
    <mergeCell ref="I9:J9"/>
    <mergeCell ref="K9:N9"/>
    <mergeCell ref="P9:Q9"/>
    <mergeCell ref="R9:U9"/>
    <mergeCell ref="W9:X9"/>
    <mergeCell ref="Y9:AB9"/>
    <mergeCell ref="AD9:AE9"/>
    <mergeCell ref="AF9:AI9"/>
    <mergeCell ref="AK9:AL9"/>
    <mergeCell ref="AM9:AP9"/>
    <mergeCell ref="AR9:AS9"/>
    <mergeCell ref="AT9:AW9"/>
    <mergeCell ref="AY9:AZ9"/>
    <mergeCell ref="BA9:BD9"/>
    <mergeCell ref="B10:C10"/>
    <mergeCell ref="D10:G10"/>
    <mergeCell ref="I10:J10"/>
    <mergeCell ref="K10:N10"/>
    <mergeCell ref="P10:Q10"/>
    <mergeCell ref="R10:U10"/>
    <mergeCell ref="W10:X10"/>
    <mergeCell ref="Y10:AB10"/>
    <mergeCell ref="AD10:AE10"/>
    <mergeCell ref="AF10:AI10"/>
    <mergeCell ref="AK10:AL10"/>
    <mergeCell ref="AM10:AP10"/>
    <mergeCell ref="AR10:AS10"/>
    <mergeCell ref="AT10:AW10"/>
    <mergeCell ref="AY10:AZ10"/>
    <mergeCell ref="BA10:BD10"/>
    <mergeCell ref="B11:C11"/>
    <mergeCell ref="D11:G11"/>
    <mergeCell ref="I11:J11"/>
    <mergeCell ref="K11:N11"/>
    <mergeCell ref="P11:Q11"/>
    <mergeCell ref="R11:U11"/>
    <mergeCell ref="W11:X11"/>
    <mergeCell ref="Y11:AB11"/>
    <mergeCell ref="AD11:AE11"/>
    <mergeCell ref="AF11:AI11"/>
    <mergeCell ref="AK11:AL11"/>
    <mergeCell ref="AM11:AP11"/>
    <mergeCell ref="AR11:AS11"/>
    <mergeCell ref="AT11:AW11"/>
    <mergeCell ref="AY11:AZ11"/>
    <mergeCell ref="BA11:BD11"/>
    <mergeCell ref="B12:C12"/>
    <mergeCell ref="D12:G12"/>
    <mergeCell ref="I12:J12"/>
    <mergeCell ref="K12:N12"/>
    <mergeCell ref="P12:Q12"/>
    <mergeCell ref="R12:U12"/>
    <mergeCell ref="W12:X12"/>
    <mergeCell ref="Y12:AB12"/>
    <mergeCell ref="AD12:AE12"/>
    <mergeCell ref="AF12:AI12"/>
    <mergeCell ref="AK12:AL12"/>
    <mergeCell ref="AM12:AP12"/>
    <mergeCell ref="AR12:AS12"/>
    <mergeCell ref="AT12:AW12"/>
    <mergeCell ref="AY12:AZ12"/>
    <mergeCell ref="BA12:B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2026-07-16T09:38:20Z</dcterms:created>
  <dc:creator>openpyxl</dc:creator>
  <dc:description/>
  <dc:language>en-US</dc:language>
  <cp:lastModifiedBy>Admin Sk</cp:lastModifiedBy>
  <dcterms:modified xsi:type="dcterms:W3CDTF">2026-10-07T07:18:44Z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