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SK-Server\SK Associates\UTC-United Trading company\3.Hotel Shanth\1. 2026-27\Anuradha GST Liqour\5. August 2026\"/>
    </mc:Choice>
  </mc:AlternateContent>
  <xr:revisionPtr revIDLastSave="0" documentId="13_ncr:1_{FA5CC1CA-8C78-4CEA-8A5C-785C4763C4D8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ummary" sheetId="1" r:id="rId1"/>
    <sheet name="Purchase August 2026" sheetId="4" r:id="rId2"/>
    <sheet name="Sales August 2026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9" i="5" l="1"/>
  <c r="Z29" i="5"/>
  <c r="G14" i="1" l="1"/>
  <c r="G12" i="1"/>
  <c r="G10" i="1"/>
  <c r="G14" i="5"/>
  <c r="AW30" i="5"/>
  <c r="AV30" i="5"/>
  <c r="AU30" i="5"/>
  <c r="AT30" i="5"/>
  <c r="AS30" i="5"/>
  <c r="BD29" i="5"/>
  <c r="BC29" i="5"/>
  <c r="BB29" i="5"/>
  <c r="BA29" i="5"/>
  <c r="AZ29" i="5"/>
  <c r="AW29" i="5"/>
  <c r="AV29" i="5"/>
  <c r="AU29" i="5"/>
  <c r="AT29" i="5"/>
  <c r="AS29" i="5"/>
  <c r="U29" i="5"/>
  <c r="U30" i="5" s="1"/>
  <c r="G11" i="1" s="1"/>
  <c r="T29" i="5"/>
  <c r="S29" i="5"/>
  <c r="R29" i="5"/>
  <c r="Q29" i="5"/>
  <c r="N29" i="5"/>
  <c r="M29" i="5"/>
  <c r="L29" i="5"/>
  <c r="K29" i="5"/>
  <c r="J29" i="5"/>
  <c r="G29" i="5"/>
  <c r="F29" i="5"/>
  <c r="E29" i="5"/>
  <c r="D29" i="5"/>
  <c r="C29" i="5"/>
  <c r="BD28" i="5"/>
  <c r="BC28" i="5"/>
  <c r="BB28" i="5"/>
  <c r="BA28" i="5"/>
  <c r="AZ28" i="5"/>
  <c r="AW28" i="5"/>
  <c r="AV28" i="5"/>
  <c r="AU28" i="5"/>
  <c r="AT28" i="5"/>
  <c r="AS28" i="5"/>
  <c r="AB28" i="5"/>
  <c r="AA28" i="5"/>
  <c r="Z28" i="5"/>
  <c r="Y28" i="5"/>
  <c r="X28" i="5"/>
  <c r="U28" i="5"/>
  <c r="T28" i="5"/>
  <c r="S28" i="5"/>
  <c r="R28" i="5"/>
  <c r="Q28" i="5"/>
  <c r="N28" i="5"/>
  <c r="M28" i="5"/>
  <c r="L28" i="5"/>
  <c r="K28" i="5"/>
  <c r="J28" i="5"/>
  <c r="G28" i="5"/>
  <c r="F28" i="5"/>
  <c r="E28" i="5"/>
  <c r="D28" i="5"/>
  <c r="C28" i="5"/>
  <c r="BD27" i="5"/>
  <c r="BC27" i="5"/>
  <c r="BB27" i="5"/>
  <c r="BA27" i="5"/>
  <c r="AZ27" i="5"/>
  <c r="AW27" i="5"/>
  <c r="AV27" i="5"/>
  <c r="AU27" i="5"/>
  <c r="AT27" i="5"/>
  <c r="AS27" i="5"/>
  <c r="AP27" i="5"/>
  <c r="AO27" i="5"/>
  <c r="AN27" i="5"/>
  <c r="AM27" i="5"/>
  <c r="AL27" i="5"/>
  <c r="AG27" i="5"/>
  <c r="AB27" i="5"/>
  <c r="AA27" i="5"/>
  <c r="Z27" i="5"/>
  <c r="Y27" i="5"/>
  <c r="X27" i="5"/>
  <c r="U27" i="5"/>
  <c r="T27" i="5"/>
  <c r="S27" i="5"/>
  <c r="R27" i="5"/>
  <c r="Q27" i="5"/>
  <c r="N27" i="5"/>
  <c r="M27" i="5"/>
  <c r="L27" i="5"/>
  <c r="K27" i="5"/>
  <c r="J27" i="5"/>
  <c r="G27" i="5"/>
  <c r="F27" i="5"/>
  <c r="E27" i="5"/>
  <c r="D27" i="5"/>
  <c r="C27" i="5"/>
  <c r="BD26" i="5"/>
  <c r="BC26" i="5"/>
  <c r="BB26" i="5"/>
  <c r="BA26" i="5"/>
  <c r="AZ26" i="5"/>
  <c r="AW26" i="5"/>
  <c r="AV26" i="5"/>
  <c r="AU26" i="5"/>
  <c r="AT26" i="5"/>
  <c r="AS26" i="5"/>
  <c r="AP26" i="5"/>
  <c r="AO26" i="5"/>
  <c r="AN26" i="5"/>
  <c r="AM26" i="5"/>
  <c r="AL26" i="5"/>
  <c r="AI26" i="5"/>
  <c r="AH26" i="5"/>
  <c r="AG26" i="5"/>
  <c r="AF26" i="5"/>
  <c r="AE26" i="5"/>
  <c r="AB26" i="5"/>
  <c r="AA26" i="5"/>
  <c r="Z26" i="5"/>
  <c r="Y26" i="5"/>
  <c r="X26" i="5"/>
  <c r="U26" i="5"/>
  <c r="T26" i="5"/>
  <c r="S26" i="5"/>
  <c r="R26" i="5"/>
  <c r="Q26" i="5"/>
  <c r="N26" i="5"/>
  <c r="M26" i="5"/>
  <c r="L26" i="5"/>
  <c r="K26" i="5"/>
  <c r="J26" i="5"/>
  <c r="G26" i="5"/>
  <c r="F26" i="5"/>
  <c r="E26" i="5"/>
  <c r="D26" i="5"/>
  <c r="C26" i="5"/>
  <c r="BD25" i="5"/>
  <c r="BC25" i="5"/>
  <c r="BB25" i="5"/>
  <c r="BA25" i="5"/>
  <c r="AZ25" i="5"/>
  <c r="AW25" i="5"/>
  <c r="AV25" i="5"/>
  <c r="AU25" i="5"/>
  <c r="AT25" i="5"/>
  <c r="AS25" i="5"/>
  <c r="AP25" i="5"/>
  <c r="AO25" i="5"/>
  <c r="AN25" i="5"/>
  <c r="AM25" i="5"/>
  <c r="AL25" i="5"/>
  <c r="AI25" i="5"/>
  <c r="AH25" i="5"/>
  <c r="AG25" i="5"/>
  <c r="AF25" i="5"/>
  <c r="AE25" i="5"/>
  <c r="AB25" i="5"/>
  <c r="AA25" i="5"/>
  <c r="Z25" i="5"/>
  <c r="Y25" i="5"/>
  <c r="X25" i="5"/>
  <c r="U25" i="5"/>
  <c r="T25" i="5"/>
  <c r="S25" i="5"/>
  <c r="R25" i="5"/>
  <c r="Q25" i="5"/>
  <c r="N25" i="5"/>
  <c r="M25" i="5"/>
  <c r="L25" i="5"/>
  <c r="K25" i="5"/>
  <c r="J25" i="5"/>
  <c r="G25" i="5"/>
  <c r="F25" i="5"/>
  <c r="E25" i="5"/>
  <c r="D25" i="5"/>
  <c r="C25" i="5"/>
  <c r="BD24" i="5"/>
  <c r="BC24" i="5"/>
  <c r="BB24" i="5"/>
  <c r="BA24" i="5"/>
  <c r="AZ24" i="5"/>
  <c r="AW24" i="5"/>
  <c r="AV24" i="5"/>
  <c r="AU24" i="5"/>
  <c r="AT24" i="5"/>
  <c r="AS24" i="5"/>
  <c r="AP24" i="5"/>
  <c r="AO24" i="5"/>
  <c r="AN24" i="5"/>
  <c r="AM24" i="5"/>
  <c r="AL24" i="5"/>
  <c r="AI24" i="5"/>
  <c r="AH24" i="5"/>
  <c r="AG24" i="5"/>
  <c r="AF24" i="5"/>
  <c r="AE24" i="5"/>
  <c r="AB24" i="5"/>
  <c r="AA24" i="5"/>
  <c r="Z24" i="5"/>
  <c r="Y24" i="5"/>
  <c r="X24" i="5"/>
  <c r="U24" i="5"/>
  <c r="T24" i="5"/>
  <c r="S24" i="5"/>
  <c r="R24" i="5"/>
  <c r="Q24" i="5"/>
  <c r="N24" i="5"/>
  <c r="M24" i="5"/>
  <c r="L24" i="5"/>
  <c r="K24" i="5"/>
  <c r="J24" i="5"/>
  <c r="G24" i="5"/>
  <c r="F24" i="5"/>
  <c r="E24" i="5"/>
  <c r="D24" i="5"/>
  <c r="C24" i="5"/>
  <c r="BD23" i="5"/>
  <c r="BC23" i="5"/>
  <c r="BB23" i="5"/>
  <c r="BA23" i="5"/>
  <c r="AZ23" i="5"/>
  <c r="AW23" i="5"/>
  <c r="AV23" i="5"/>
  <c r="AU23" i="5"/>
  <c r="AT23" i="5"/>
  <c r="AS23" i="5"/>
  <c r="AP23" i="5"/>
  <c r="AO23" i="5"/>
  <c r="AN23" i="5"/>
  <c r="AM23" i="5"/>
  <c r="AL23" i="5"/>
  <c r="AI23" i="5"/>
  <c r="AH23" i="5"/>
  <c r="AG23" i="5"/>
  <c r="AF23" i="5"/>
  <c r="AE23" i="5"/>
  <c r="AB23" i="5"/>
  <c r="AA23" i="5"/>
  <c r="Z23" i="5"/>
  <c r="Y23" i="5"/>
  <c r="X23" i="5"/>
  <c r="U23" i="5"/>
  <c r="T23" i="5"/>
  <c r="S23" i="5"/>
  <c r="R23" i="5"/>
  <c r="Q23" i="5"/>
  <c r="N23" i="5"/>
  <c r="M23" i="5"/>
  <c r="L23" i="5"/>
  <c r="K23" i="5"/>
  <c r="J23" i="5"/>
  <c r="G23" i="5"/>
  <c r="F23" i="5"/>
  <c r="E23" i="5"/>
  <c r="D23" i="5"/>
  <c r="C23" i="5"/>
  <c r="BD22" i="5"/>
  <c r="BC22" i="5"/>
  <c r="BB22" i="5"/>
  <c r="BA22" i="5"/>
  <c r="AZ22" i="5"/>
  <c r="AW22" i="5"/>
  <c r="AV22" i="5"/>
  <c r="AU22" i="5"/>
  <c r="AT22" i="5"/>
  <c r="AS22" i="5"/>
  <c r="AP22" i="5"/>
  <c r="AO22" i="5"/>
  <c r="AN22" i="5"/>
  <c r="AM22" i="5"/>
  <c r="AL22" i="5"/>
  <c r="AI22" i="5"/>
  <c r="AH22" i="5"/>
  <c r="AG22" i="5"/>
  <c r="AF22" i="5"/>
  <c r="AE22" i="5"/>
  <c r="AB22" i="5"/>
  <c r="AA22" i="5"/>
  <c r="Z22" i="5"/>
  <c r="Y22" i="5"/>
  <c r="X22" i="5"/>
  <c r="U22" i="5"/>
  <c r="T22" i="5"/>
  <c r="S22" i="5"/>
  <c r="R22" i="5"/>
  <c r="Q22" i="5"/>
  <c r="N22" i="5"/>
  <c r="M22" i="5"/>
  <c r="L22" i="5"/>
  <c r="K22" i="5"/>
  <c r="J22" i="5"/>
  <c r="G22" i="5"/>
  <c r="F22" i="5"/>
  <c r="E22" i="5"/>
  <c r="D22" i="5"/>
  <c r="C22" i="5"/>
  <c r="BD21" i="5"/>
  <c r="BC21" i="5"/>
  <c r="BB21" i="5"/>
  <c r="BA21" i="5"/>
  <c r="AZ21" i="5"/>
  <c r="AW21" i="5"/>
  <c r="AV21" i="5"/>
  <c r="AU21" i="5"/>
  <c r="AT21" i="5"/>
  <c r="AS21" i="5"/>
  <c r="AP21" i="5"/>
  <c r="AO21" i="5"/>
  <c r="AN21" i="5"/>
  <c r="AM21" i="5"/>
  <c r="AL21" i="5"/>
  <c r="AI21" i="5"/>
  <c r="AH21" i="5"/>
  <c r="AG21" i="5"/>
  <c r="AF21" i="5"/>
  <c r="AE21" i="5"/>
  <c r="AB21" i="5"/>
  <c r="AA21" i="5"/>
  <c r="Z21" i="5"/>
  <c r="Y21" i="5"/>
  <c r="X21" i="5"/>
  <c r="U21" i="5"/>
  <c r="T21" i="5"/>
  <c r="S21" i="5"/>
  <c r="R21" i="5"/>
  <c r="Q21" i="5"/>
  <c r="N21" i="5"/>
  <c r="M21" i="5"/>
  <c r="L21" i="5"/>
  <c r="K21" i="5"/>
  <c r="J21" i="5"/>
  <c r="G21" i="5"/>
  <c r="F21" i="5"/>
  <c r="E21" i="5"/>
  <c r="D21" i="5"/>
  <c r="C21" i="5"/>
  <c r="BD20" i="5"/>
  <c r="BC20" i="5"/>
  <c r="BB20" i="5"/>
  <c r="BA20" i="5"/>
  <c r="AZ20" i="5"/>
  <c r="AW20" i="5"/>
  <c r="AV20" i="5"/>
  <c r="AU20" i="5"/>
  <c r="AT20" i="5"/>
  <c r="AS20" i="5"/>
  <c r="AP20" i="5"/>
  <c r="AO20" i="5"/>
  <c r="AN20" i="5"/>
  <c r="AM20" i="5"/>
  <c r="AL20" i="5"/>
  <c r="AI20" i="5"/>
  <c r="AH20" i="5"/>
  <c r="AG20" i="5"/>
  <c r="AF20" i="5"/>
  <c r="AE20" i="5"/>
  <c r="AB20" i="5"/>
  <c r="AA20" i="5"/>
  <c r="Z20" i="5"/>
  <c r="Y20" i="5"/>
  <c r="X20" i="5"/>
  <c r="U20" i="5"/>
  <c r="T20" i="5"/>
  <c r="S20" i="5"/>
  <c r="R20" i="5"/>
  <c r="Q20" i="5"/>
  <c r="N20" i="5"/>
  <c r="M20" i="5"/>
  <c r="L20" i="5"/>
  <c r="K20" i="5"/>
  <c r="J20" i="5"/>
  <c r="G20" i="5"/>
  <c r="F20" i="5"/>
  <c r="E20" i="5"/>
  <c r="D20" i="5"/>
  <c r="C20" i="5"/>
  <c r="BD19" i="5"/>
  <c r="BC19" i="5"/>
  <c r="BB19" i="5"/>
  <c r="BA19" i="5"/>
  <c r="AZ19" i="5"/>
  <c r="AW19" i="5"/>
  <c r="AV19" i="5"/>
  <c r="AU19" i="5"/>
  <c r="AT19" i="5"/>
  <c r="AS19" i="5"/>
  <c r="AP19" i="5"/>
  <c r="AO19" i="5"/>
  <c r="AN19" i="5"/>
  <c r="AM19" i="5"/>
  <c r="AL19" i="5"/>
  <c r="AI19" i="5"/>
  <c r="AH19" i="5"/>
  <c r="AG19" i="5"/>
  <c r="AF19" i="5"/>
  <c r="AE19" i="5"/>
  <c r="AB19" i="5"/>
  <c r="AA19" i="5"/>
  <c r="Z19" i="5"/>
  <c r="Y19" i="5"/>
  <c r="X19" i="5"/>
  <c r="U19" i="5"/>
  <c r="T19" i="5"/>
  <c r="S19" i="5"/>
  <c r="R19" i="5"/>
  <c r="Q19" i="5"/>
  <c r="N19" i="5"/>
  <c r="M19" i="5"/>
  <c r="L19" i="5"/>
  <c r="K19" i="5"/>
  <c r="J19" i="5"/>
  <c r="G19" i="5"/>
  <c r="F19" i="5"/>
  <c r="E19" i="5"/>
  <c r="D19" i="5"/>
  <c r="C19" i="5"/>
  <c r="BD18" i="5"/>
  <c r="BC18" i="5"/>
  <c r="BB18" i="5"/>
  <c r="BA18" i="5"/>
  <c r="AZ18" i="5"/>
  <c r="AW18" i="5"/>
  <c r="AV18" i="5"/>
  <c r="AU18" i="5"/>
  <c r="AT18" i="5"/>
  <c r="AS18" i="5"/>
  <c r="AP18" i="5"/>
  <c r="AO18" i="5"/>
  <c r="AN18" i="5"/>
  <c r="AM18" i="5"/>
  <c r="AL18" i="5"/>
  <c r="AI18" i="5"/>
  <c r="AH18" i="5"/>
  <c r="AG18" i="5"/>
  <c r="AF18" i="5"/>
  <c r="AE18" i="5"/>
  <c r="AB18" i="5"/>
  <c r="AA18" i="5"/>
  <c r="Z18" i="5"/>
  <c r="Y18" i="5"/>
  <c r="X18" i="5"/>
  <c r="U18" i="5"/>
  <c r="T18" i="5"/>
  <c r="S18" i="5"/>
  <c r="R18" i="5"/>
  <c r="Q18" i="5"/>
  <c r="N18" i="5"/>
  <c r="M18" i="5"/>
  <c r="L18" i="5"/>
  <c r="K18" i="5"/>
  <c r="J18" i="5"/>
  <c r="G18" i="5"/>
  <c r="F18" i="5"/>
  <c r="E18" i="5"/>
  <c r="D18" i="5"/>
  <c r="C18" i="5"/>
  <c r="BD17" i="5"/>
  <c r="BC17" i="5"/>
  <c r="BB17" i="5"/>
  <c r="BA17" i="5"/>
  <c r="AZ17" i="5"/>
  <c r="AW17" i="5"/>
  <c r="AV17" i="5"/>
  <c r="AU17" i="5"/>
  <c r="AT17" i="5"/>
  <c r="AS17" i="5"/>
  <c r="AP17" i="5"/>
  <c r="AO17" i="5"/>
  <c r="AN17" i="5"/>
  <c r="AM17" i="5"/>
  <c r="AL17" i="5"/>
  <c r="AI17" i="5"/>
  <c r="AH17" i="5"/>
  <c r="AG17" i="5"/>
  <c r="AF17" i="5"/>
  <c r="AE17" i="5"/>
  <c r="AB17" i="5"/>
  <c r="AA17" i="5"/>
  <c r="Z17" i="5"/>
  <c r="Y17" i="5"/>
  <c r="X17" i="5"/>
  <c r="U17" i="5"/>
  <c r="T17" i="5"/>
  <c r="S17" i="5"/>
  <c r="R17" i="5"/>
  <c r="Q17" i="5"/>
  <c r="N17" i="5"/>
  <c r="M17" i="5"/>
  <c r="L17" i="5"/>
  <c r="K17" i="5"/>
  <c r="J17" i="5"/>
  <c r="G17" i="5"/>
  <c r="F17" i="5"/>
  <c r="E17" i="5"/>
  <c r="D17" i="5"/>
  <c r="C17" i="5"/>
  <c r="BD16" i="5"/>
  <c r="BC16" i="5"/>
  <c r="BB16" i="5"/>
  <c r="BA16" i="5"/>
  <c r="AZ16" i="5"/>
  <c r="AW16" i="5"/>
  <c r="AV16" i="5"/>
  <c r="AU16" i="5"/>
  <c r="AT16" i="5"/>
  <c r="AS16" i="5"/>
  <c r="AP16" i="5"/>
  <c r="AO16" i="5"/>
  <c r="AN16" i="5"/>
  <c r="AM16" i="5"/>
  <c r="AL16" i="5"/>
  <c r="AI16" i="5"/>
  <c r="AH16" i="5"/>
  <c r="AG16" i="5"/>
  <c r="AF16" i="5"/>
  <c r="AE16" i="5"/>
  <c r="AB16" i="5"/>
  <c r="AA16" i="5"/>
  <c r="Z16" i="5"/>
  <c r="Y16" i="5"/>
  <c r="X16" i="5"/>
  <c r="U16" i="5"/>
  <c r="T16" i="5"/>
  <c r="S16" i="5"/>
  <c r="R16" i="5"/>
  <c r="Q16" i="5"/>
  <c r="N16" i="5"/>
  <c r="M16" i="5"/>
  <c r="L16" i="5"/>
  <c r="K16" i="5"/>
  <c r="J16" i="5"/>
  <c r="G16" i="5"/>
  <c r="F16" i="5"/>
  <c r="E16" i="5"/>
  <c r="D16" i="5"/>
  <c r="C16" i="5"/>
  <c r="BD15" i="5"/>
  <c r="BC15" i="5"/>
  <c r="BB15" i="5"/>
  <c r="BA15" i="5"/>
  <c r="AZ15" i="5"/>
  <c r="AW15" i="5"/>
  <c r="AV15" i="5"/>
  <c r="AU15" i="5"/>
  <c r="AT15" i="5"/>
  <c r="AS15" i="5"/>
  <c r="AP15" i="5"/>
  <c r="AO15" i="5"/>
  <c r="AN15" i="5"/>
  <c r="AM15" i="5"/>
  <c r="AL15" i="5"/>
  <c r="AI15" i="5"/>
  <c r="AH15" i="5"/>
  <c r="AG15" i="5"/>
  <c r="AF15" i="5"/>
  <c r="AE15" i="5"/>
  <c r="AB15" i="5"/>
  <c r="AA15" i="5"/>
  <c r="Z15" i="5"/>
  <c r="Y15" i="5"/>
  <c r="X15" i="5"/>
  <c r="U15" i="5"/>
  <c r="T15" i="5"/>
  <c r="S15" i="5"/>
  <c r="R15" i="5"/>
  <c r="Q15" i="5"/>
  <c r="N15" i="5"/>
  <c r="M15" i="5"/>
  <c r="L15" i="5"/>
  <c r="K15" i="5"/>
  <c r="J15" i="5"/>
  <c r="G15" i="5"/>
  <c r="F15" i="5"/>
  <c r="E15" i="5"/>
  <c r="D15" i="5"/>
  <c r="C15" i="5"/>
  <c r="BD14" i="5"/>
  <c r="BC14" i="5"/>
  <c r="BB14" i="5"/>
  <c r="BA14" i="5"/>
  <c r="AZ14" i="5"/>
  <c r="AW14" i="5"/>
  <c r="AV14" i="5"/>
  <c r="AU14" i="5"/>
  <c r="AU31" i="5" s="1"/>
  <c r="AT14" i="5"/>
  <c r="AS14" i="5"/>
  <c r="AP14" i="5"/>
  <c r="AP28" i="5" s="1"/>
  <c r="AO14" i="5"/>
  <c r="AN14" i="5"/>
  <c r="AN28" i="5" s="1"/>
  <c r="AM14" i="5"/>
  <c r="AM28" i="5" s="1"/>
  <c r="AL14" i="5"/>
  <c r="AI14" i="5"/>
  <c r="AI27" i="5" s="1"/>
  <c r="G13" i="1" s="1"/>
  <c r="AH14" i="5"/>
  <c r="AG14" i="5"/>
  <c r="AF14" i="5"/>
  <c r="AF27" i="5" s="1"/>
  <c r="AE14" i="5"/>
  <c r="AB14" i="5"/>
  <c r="AB29" i="5" s="1"/>
  <c r="AA14" i="5"/>
  <c r="Z14" i="5"/>
  <c r="Y14" i="5"/>
  <c r="X14" i="5"/>
  <c r="U14" i="5"/>
  <c r="T14" i="5"/>
  <c r="S14" i="5"/>
  <c r="S30" i="5" s="1"/>
  <c r="R14" i="5"/>
  <c r="Q14" i="5"/>
  <c r="N14" i="5"/>
  <c r="N30" i="5" s="1"/>
  <c r="M14" i="5"/>
  <c r="L14" i="5"/>
  <c r="K14" i="5"/>
  <c r="J14" i="5"/>
  <c r="F14" i="5"/>
  <c r="E14" i="5"/>
  <c r="D14" i="5"/>
  <c r="C14" i="5"/>
  <c r="AB47" i="4"/>
  <c r="C12" i="1" s="1"/>
  <c r="AA47" i="4"/>
  <c r="Z47" i="4"/>
  <c r="Y47" i="4"/>
  <c r="G46" i="4"/>
  <c r="C9" i="1" s="1"/>
  <c r="C13" i="1" s="1"/>
  <c r="F46" i="4"/>
  <c r="E46" i="4"/>
  <c r="D46" i="4"/>
  <c r="N45" i="4"/>
  <c r="C10" i="1" s="1"/>
  <c r="M45" i="4"/>
  <c r="L45" i="4"/>
  <c r="K45" i="4"/>
  <c r="U41" i="4"/>
  <c r="C11" i="1" s="1"/>
  <c r="T41" i="4"/>
  <c r="S41" i="4"/>
  <c r="R41" i="4"/>
  <c r="D30" i="5" l="1"/>
  <c r="BB30" i="5"/>
  <c r="K30" i="5"/>
  <c r="AW31" i="5"/>
  <c r="G15" i="1" s="1"/>
  <c r="BA30" i="5"/>
  <c r="E30" i="5"/>
  <c r="L30" i="5"/>
  <c r="R30" i="5"/>
  <c r="AT31" i="5"/>
  <c r="BD30" i="5"/>
  <c r="G16" i="1" s="1"/>
  <c r="G30" i="5"/>
  <c r="G9" i="1" s="1"/>
  <c r="G17" i="1" s="1"/>
</calcChain>
</file>

<file path=xl/sharedStrings.xml><?xml version="1.0" encoding="utf-8"?>
<sst xmlns="http://schemas.openxmlformats.org/spreadsheetml/2006/main" count="388" uniqueCount="108">
  <si>
    <t xml:space="preserve">Anuradha Kagod </t>
  </si>
  <si>
    <t>C/o  Hotel Shanth</t>
  </si>
  <si>
    <t>Purchase Details</t>
  </si>
  <si>
    <t>Sales Details</t>
  </si>
  <si>
    <t>Sl.No</t>
  </si>
  <si>
    <t>Invoice no.</t>
  </si>
  <si>
    <t>Purchase Total</t>
  </si>
  <si>
    <t>Sales Total</t>
  </si>
  <si>
    <t>INVOICE</t>
  </si>
  <si>
    <t>KARNATAKA STATE BEVERAGES CORPORATION LIMITED</t>
  </si>
  <si>
    <t>GSTIN - 29AACCK1421A1Z7</t>
  </si>
  <si>
    <t>Date :</t>
  </si>
  <si>
    <t>Bill To.</t>
  </si>
  <si>
    <t>Delivery To.</t>
  </si>
  <si>
    <t>Anuradha Kagod</t>
  </si>
  <si>
    <t>Sri Sai Restaurant.</t>
  </si>
  <si>
    <t>Soraba Road, Sagar - 577401,</t>
  </si>
  <si>
    <t>Shimogga District.</t>
  </si>
  <si>
    <t>GSTIN - 29AJJPK1418N1ZU</t>
  </si>
  <si>
    <t>SL.No</t>
  </si>
  <si>
    <t>ITEMS NAME</t>
  </si>
  <si>
    <t>CBs</t>
  </si>
  <si>
    <t>Blts.</t>
  </si>
  <si>
    <t>RATE for CB</t>
  </si>
  <si>
    <t>Purchase Amt</t>
  </si>
  <si>
    <t>Bacardi+Cranberry 275MLx24Btls(0057)</t>
  </si>
  <si>
    <t>Bagpiper Deluxe Whisky-PET(40%)750MLx12P.Btls(0538)</t>
  </si>
  <si>
    <t>Bagpiper Deluxe Whisky-Aseptic Brick Pack(40%) 180MLx48ABP(0546)</t>
  </si>
  <si>
    <t>Buzzballz Easy-to-Drink Flavoured Alcoholic Beverage Strawberry Squeeze Aromatized Wine-PET 180MLx48P.Btls(0609)</t>
  </si>
  <si>
    <t>Black &amp; White Blended Scotch Whisky-PET 180MLx48P.Btls(0020)</t>
  </si>
  <si>
    <t>Bagpiper Deluxe Whisky-Tetra Pack (40%) 180MLx48Btls(0544)</t>
  </si>
  <si>
    <t>DSP Black Deluxe Whisky-PET 180MLx48P.Btls(0020)</t>
  </si>
  <si>
    <t>McDowell's No.1 Luxury Select Collection Whisky 750MLx12Btls(0524)</t>
  </si>
  <si>
    <t>Director's Special Whisky-Tetra Pack 180MLx48T.Packs(0524)</t>
  </si>
  <si>
    <t>McDowell's No.1 Supreme Special Whisky Original 180MLx48Btls(0524)</t>
  </si>
  <si>
    <t>Iconiq White Grand International Grain Whisky 180MLx48Btls(0608)</t>
  </si>
  <si>
    <t>Officer's Choice Special Whisky-Aseptic Brick Pack 180MLx48ABP(0608)</t>
  </si>
  <si>
    <t>TI Mansion House Premium French Brandy 180MLx48Btls(0542)</t>
  </si>
  <si>
    <t>Officer's Choice Special Whisky-PET 750MLx12P.Btls(0608)</t>
  </si>
  <si>
    <t>Old Monk Very Old Vatted Special XXX Rum-Aseptic Brick Pack 180MLx48ABP(0532)</t>
  </si>
  <si>
    <t>Seagram's Imperial Blue Select Batch Grain Whisky 180MLx48Btls(0601)</t>
  </si>
  <si>
    <t>Total</t>
  </si>
  <si>
    <t>Seagram's Imperial Blue Select Batch Grain Whisky 750MLx12Btls(0601)</t>
  </si>
  <si>
    <t>Seagram's 100 Pipers Deluxe Blended Scotch Whisky 750ML(0091)</t>
  </si>
  <si>
    <t>Seagram's 100 Pipers Deluxe Blended Scotch Whisky 180ML(0091)</t>
  </si>
  <si>
    <t>Seagram's Blenders Pride Rare Premium Whisky 180ML(0091)</t>
  </si>
  <si>
    <t>Seagram's Blenders Pride Rare Premium Whisky 750ML(0091)</t>
  </si>
  <si>
    <t>Seagram's Royal Stag Deluxe Whisky 180ML(0091)</t>
  </si>
  <si>
    <t>Seagram's Royal Stag Deluxe Whisky 750ML(0091)</t>
  </si>
  <si>
    <t>TI Mansion House Premium French Brandy 750MLx12Btls(0542)</t>
  </si>
  <si>
    <t>Magic Moments Remix Flavoured Vodka ORANGE 180ML(0502)</t>
  </si>
  <si>
    <t>Magic Moments Remix Flavoured Vodka ORANGE 750ML(0502)</t>
  </si>
  <si>
    <t>Budweiser Magnum Beer 650MLx12Btls(0217)</t>
  </si>
  <si>
    <t>Heineken Silver 100% Malt Lager Beer 650MLx12Btls(0210)</t>
  </si>
  <si>
    <t>Kingfisher Strong Premium Beer 330MLx24Btls(0206)</t>
  </si>
  <si>
    <t>Budweiser Premium King of Beers 650MLx12Btls(0217)</t>
  </si>
  <si>
    <t>Kingfisher Premium Lager Beer 330MLx24Btls(0206)</t>
  </si>
  <si>
    <t>Kingfisher Ultra Lager Beer 650MLx12Btls(0210)</t>
  </si>
  <si>
    <t>Kingfisher Strong Premium Beer 650MLx12Btls(0210)</t>
  </si>
  <si>
    <t>Kingfisher Premium Lager Beer 650MLx12Btls(0210)</t>
  </si>
  <si>
    <t>Tuborg Strong Premium Beer 650MLx12Btls(0205)</t>
  </si>
  <si>
    <t>UB Export Strong Premium Beer 330MLx24Btls(0206)</t>
  </si>
  <si>
    <t>UB Export Strong Premium Beer 650MLx12Btls(0206)</t>
  </si>
  <si>
    <t>Budweiser Magnum Beer-CAN 500MLx24Cans(0217)</t>
  </si>
  <si>
    <t>Budweiser Premium King of Beers-CAN 500MLx24Cans(0217)</t>
  </si>
  <si>
    <t>CB</t>
  </si>
  <si>
    <t>SALES AMOUNT</t>
  </si>
  <si>
    <t>Invoice No : SSGR26003983</t>
  </si>
  <si>
    <t>Invoice No : SSGR26004188</t>
  </si>
  <si>
    <t>Invoice No : SSGR26004326</t>
  </si>
  <si>
    <t>Invoice No : SSGR26004536</t>
  </si>
  <si>
    <t>Buzzballz Easy-to-Drink Flavoured Alcoholic Beverage Berry Lemon Squeeze Aromatized Wine-PET 180MLx48P.Btls(0609)</t>
  </si>
  <si>
    <t>Breezer Tangy Cranberry Flavour 275MLx24Btls(0057)</t>
  </si>
  <si>
    <t>After Dark Blue Classic Grain Whisky-PET 180MLx48P.Btls(0537)</t>
  </si>
  <si>
    <t>Black &amp; White Blended Scotch Whisky 750MLx12Btls(0020)</t>
  </si>
  <si>
    <t>MCDOWELLS NO.1 PREMIUM RESERVE WHISKY 750MLx12Btls(0020)</t>
  </si>
  <si>
    <t>Mcdowell's No 1 Luxury Select Collection Whisky 180MLx48Btls(0020)</t>
  </si>
  <si>
    <t>Officer's Choice Special Whisky-ASEPTIC BRICK PACK 180MLx48ABP(0608)</t>
  </si>
  <si>
    <t>SEAGRAM'S IMPERIAL BLUE SELECT BATCH GRAIN WHISKY 180MLx48Btls(0601)</t>
  </si>
  <si>
    <t>Royal Challenge Premium Select Whisky-PET 180MLx48P.Btls(0020)</t>
  </si>
  <si>
    <t>Signature Rare Aged Whisky 750ml(0020)</t>
  </si>
  <si>
    <t>Copenhagen Tuborg Strong Premium Beer 330MLx24Btls(0205)</t>
  </si>
  <si>
    <t>Mcdowell's No.1 Celebration Classic XXX Rum - Tetra Pack 180MLx48T.Packs(0524)</t>
  </si>
  <si>
    <t>Copenhagen Tuborg Strong Premium Beer 650MLx12Btls(0205)</t>
  </si>
  <si>
    <t>Hercules Old Matured Deluxe 3x Rum 750Ml(0003)</t>
  </si>
  <si>
    <t>Smirnoff Orange Triple Distilled Vodka 750MLx12Btls(0020)</t>
  </si>
  <si>
    <t>Platinum Romanov Flavoured Vodka Zesty Orange 180MLx48Btls(0538)</t>
  </si>
  <si>
    <t>Budweiser Magnum Premium Superior Beer 650MLx12Btls(0217)</t>
  </si>
  <si>
    <t>Carlsberg Elephant Strong Super Premium Beer 650MLx12Btls(0205)</t>
  </si>
  <si>
    <t>Smirnoff Orange Triple Distilled Vodka-PET 180MLx48P.Btls(0020)</t>
  </si>
  <si>
    <t>UB Export Premium Lager Beer 330MLx24Btls(0206)</t>
  </si>
  <si>
    <t>UB Export Premium Lager Beer 650MLx12Btls(0210)</t>
  </si>
  <si>
    <t>Corona Extra Premium Beer 330MLx24Btls(0254)</t>
  </si>
  <si>
    <t>UB Export Strong Premium Beer 650MLx12Btls(0210)</t>
  </si>
  <si>
    <t>Budweiser Magnum Premium Superior Beer-CAN 330MLx24Cans(0217)</t>
  </si>
  <si>
    <t>Kingfisher Ultra Max Premium Strong Beer 650MLx12Btls(0210)</t>
  </si>
  <si>
    <t>Invoice No : 903</t>
  </si>
  <si>
    <t>Invoice No : 904</t>
  </si>
  <si>
    <t>Invoice No : 905</t>
  </si>
  <si>
    <t>Invoice No : 906</t>
  </si>
  <si>
    <t>Invoice No : 907</t>
  </si>
  <si>
    <t>Invoice No : 908</t>
  </si>
  <si>
    <t>Invoice No : 909</t>
  </si>
  <si>
    <t>Invoice No : 910</t>
  </si>
  <si>
    <t>Liquor Details for the month of August 2026</t>
  </si>
  <si>
    <t>14/08/2026</t>
  </si>
  <si>
    <t>19/08/2026</t>
  </si>
  <si>
    <t>28/08/2026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</si>
</sst>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 * #,##0.00_ ;_ * \-#,##0.00_ ;_ * \-??_ ;_ @_ "/>
    <numFmt numFmtId="166" formatCode="_ * #,##0_ ;_ * \-#,##0_ ;_ * \-??_ ;_ @_ "/>
    <numFmt numFmtId="167" formatCode="d/mm/yyyy;@"/>
  </numFmts>
  <fonts count="11" x14ac:knownFonts="1">
    <font>
      <sz val="11"/>
      <color theme="1"/>
      <name val="Calibri"/>
      <family val="2"/>
      <charset val="1"/>
    </font>
    <font>
      <sz val="10"/>
      <name val="Arial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color theme="0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0"/>
      <name val="Cambria"/>
    </font>
    <font>
      <sz val="10"/>
      <name val="Cambria"/>
    </font>
    <font>
      <b/>
      <sz val="11"/>
      <name val="Calibri"/>
    </font>
    <font>
      <b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/>
  </cellStyleXfs>
  <cellXfs count="149">
    <xf numFmtId="0" fontId="0" fillId="0" borderId="0" xfId="0"/>
    <xf numFmtId="164" fontId="2" fillId="0" borderId="0" xfId="1" applyNumberFormat="1" applyFont="1"/>
    <xf numFmtId="164" fontId="3" fillId="0" borderId="0" xfId="1" applyNumberFormat="1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0" fontId="6" fillId="0" borderId="0" xfId="0" applyFont="1"/>
    <xf numFmtId="166" fontId="2" fillId="0" borderId="0" xfId="0" applyNumberFormat="1" applyFont="1" applyAlignment="1">
      <alignment horizontal="center" vertical="center"/>
    </xf>
    <xf numFmtId="1" fontId="4" fillId="0" borderId="0" xfId="0" applyNumberFormat="1" applyFont="1"/>
    <xf numFmtId="165" fontId="4" fillId="0" borderId="0" xfId="0" applyNumberFormat="1" applyFont="1"/>
    <xf numFmtId="43" fontId="4" fillId="0" borderId="0" xfId="0" applyNumberFormat="1" applyFont="1"/>
    <xf numFmtId="0" fontId="2" fillId="0" borderId="11" xfId="0" applyFont="1" applyBorder="1" applyAlignment="1">
      <alignment horizontal="center" vertical="center"/>
    </xf>
    <xf numFmtId="4" fontId="2" fillId="0" borderId="12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167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0" fontId="4" fillId="2" borderId="11" xfId="0" applyFont="1" applyFill="1" applyBorder="1" applyAlignment="1">
      <alignment vertical="center"/>
    </xf>
    <xf numFmtId="164" fontId="6" fillId="2" borderId="12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9" fillId="0" borderId="0" xfId="0" applyFont="1"/>
    <xf numFmtId="14" fontId="0" fillId="0" borderId="0" xfId="0" applyNumberFormat="1"/>
    <xf numFmtId="0" fontId="8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4" fontId="8" fillId="0" borderId="19" xfId="0" applyNumberFormat="1" applyFont="1" applyBorder="1" applyAlignment="1">
      <alignment horizontal="right" vertical="center"/>
    </xf>
    <xf numFmtId="0" fontId="7" fillId="0" borderId="9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4" fontId="8" fillId="2" borderId="19" xfId="1" applyNumberFormat="1" applyFont="1" applyFill="1" applyBorder="1" applyAlignment="1">
      <alignment horizontal="right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/>
    </xf>
    <xf numFmtId="4" fontId="7" fillId="0" borderId="13" xfId="1" applyNumberFormat="1" applyFont="1" applyBorder="1" applyAlignment="1">
      <alignment horizontal="right" vertical="center"/>
    </xf>
    <xf numFmtId="4" fontId="8" fillId="2" borderId="19" xfId="0" applyNumberFormat="1" applyFont="1" applyFill="1" applyBorder="1" applyAlignment="1">
      <alignment horizontal="right" vertical="center"/>
    </xf>
    <xf numFmtId="4" fontId="7" fillId="0" borderId="13" xfId="0" applyNumberFormat="1" applyFont="1" applyBorder="1" applyAlignment="1">
      <alignment horizontal="right" vertical="center"/>
    </xf>
    <xf numFmtId="0" fontId="7" fillId="0" borderId="19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right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4" fontId="8" fillId="0" borderId="20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center" vertical="center"/>
    </xf>
    <xf numFmtId="166" fontId="3" fillId="0" borderId="14" xfId="0" applyNumberFormat="1" applyFont="1" applyBorder="1" applyAlignment="1">
      <alignment horizontal="center" vertical="center"/>
    </xf>
    <xf numFmtId="4" fontId="0" fillId="0" borderId="0" xfId="0" applyNumberFormat="1"/>
    <xf numFmtId="166" fontId="3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0" fontId="4" fillId="2" borderId="14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left" vertical="center"/>
    </xf>
    <xf numFmtId="4" fontId="8" fillId="2" borderId="20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right" vertical="center"/>
    </xf>
    <xf numFmtId="4" fontId="8" fillId="2" borderId="20" xfId="1" applyNumberFormat="1" applyFont="1" applyFill="1" applyBorder="1" applyAlignment="1">
      <alignment horizontal="right" vertical="center"/>
    </xf>
    <xf numFmtId="0" fontId="6" fillId="2" borderId="14" xfId="0" applyFont="1" applyFill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4" fontId="8" fillId="0" borderId="25" xfId="0" applyNumberFormat="1" applyFont="1" applyBorder="1" applyAlignment="1">
      <alignment horizontal="right" vertical="center"/>
    </xf>
    <xf numFmtId="0" fontId="8" fillId="0" borderId="26" xfId="0" applyFont="1" applyBorder="1" applyAlignment="1">
      <alignment horizontal="center" vertical="center"/>
    </xf>
    <xf numFmtId="4" fontId="8" fillId="0" borderId="27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4" fontId="7" fillId="0" borderId="12" xfId="0" applyNumberFormat="1" applyFont="1" applyBorder="1" applyAlignment="1">
      <alignment horizontal="right" vertical="center"/>
    </xf>
    <xf numFmtId="0" fontId="4" fillId="0" borderId="4" xfId="0" applyFont="1" applyBorder="1"/>
    <xf numFmtId="0" fontId="7" fillId="0" borderId="12" xfId="0" applyFont="1" applyBorder="1" applyAlignment="1">
      <alignment horizontal="left" vertical="center"/>
    </xf>
    <xf numFmtId="0" fontId="4" fillId="0" borderId="29" xfId="0" applyFont="1" applyBorder="1"/>
    <xf numFmtId="0" fontId="7" fillId="0" borderId="30" xfId="0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center"/>
    </xf>
    <xf numFmtId="4" fontId="7" fillId="0" borderId="30" xfId="0" applyNumberFormat="1" applyFont="1" applyBorder="1" applyAlignment="1">
      <alignment horizontal="right" vertical="center"/>
    </xf>
    <xf numFmtId="4" fontId="7" fillId="0" borderId="31" xfId="0" applyNumberFormat="1" applyFont="1" applyBorder="1" applyAlignment="1">
      <alignment horizontal="right" vertical="center"/>
    </xf>
    <xf numFmtId="0" fontId="8" fillId="0" borderId="32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4" fontId="8" fillId="2" borderId="25" xfId="0" applyNumberFormat="1" applyFont="1" applyFill="1" applyBorder="1" applyAlignment="1">
      <alignment horizontal="right" vertical="center"/>
    </xf>
    <xf numFmtId="0" fontId="8" fillId="2" borderId="26" xfId="0" applyFont="1" applyFill="1" applyBorder="1" applyAlignment="1">
      <alignment horizontal="center" vertical="center"/>
    </xf>
    <xf numFmtId="4" fontId="8" fillId="2" borderId="27" xfId="0" applyNumberFormat="1" applyFont="1" applyFill="1" applyBorder="1" applyAlignment="1">
      <alignment horizontal="right" vertical="center"/>
    </xf>
    <xf numFmtId="4" fontId="8" fillId="0" borderId="27" xfId="1" applyNumberFormat="1" applyFont="1" applyBorder="1" applyAlignment="1">
      <alignment horizontal="right" vertical="center"/>
    </xf>
    <xf numFmtId="0" fontId="7" fillId="0" borderId="15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64" fontId="6" fillId="2" borderId="0" xfId="1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1" fontId="6" fillId="2" borderId="0" xfId="0" applyNumberFormat="1" applyFont="1" applyFill="1" applyAlignment="1">
      <alignment horizontal="right" vertical="center"/>
    </xf>
    <xf numFmtId="0" fontId="8" fillId="0" borderId="21" xfId="0" applyFont="1" applyBorder="1" applyAlignment="1">
      <alignment horizontal="left" vertical="center"/>
    </xf>
    <xf numFmtId="0" fontId="0" fillId="0" borderId="22" xfId="0" applyBorder="1"/>
    <xf numFmtId="14" fontId="7" fillId="0" borderId="8" xfId="0" applyNumberFormat="1" applyFont="1" applyBorder="1" applyAlignment="1">
      <alignment horizontal="left" vertical="center"/>
    </xf>
    <xf numFmtId="0" fontId="0" fillId="0" borderId="16" xfId="0" applyBorder="1"/>
    <xf numFmtId="0" fontId="0" fillId="0" borderId="8" xfId="0" applyBorder="1"/>
    <xf numFmtId="0" fontId="7" fillId="0" borderId="8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0" fillId="0" borderId="23" xfId="0" applyBorder="1"/>
    <xf numFmtId="0" fontId="7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0" fillId="0" borderId="15" xfId="0" applyBorder="1"/>
    <xf numFmtId="0" fontId="0" fillId="0" borderId="10" xfId="0" applyBorder="1"/>
    <xf numFmtId="0" fontId="3" fillId="0" borderId="0" xfId="0" applyFont="1" applyAlignment="1">
      <alignment horizontal="left" vertical="center"/>
    </xf>
    <xf numFmtId="0" fontId="0" fillId="0" borderId="0" xfId="0"/>
    <xf numFmtId="0" fontId="8" fillId="0" borderId="7" xfId="0" applyFont="1" applyBorder="1" applyAlignment="1">
      <alignment horizontal="left" vertical="center"/>
    </xf>
    <xf numFmtId="14" fontId="0" fillId="0" borderId="16" xfId="0" applyNumberFormat="1" applyBorder="1"/>
    <xf numFmtId="14" fontId="0" fillId="0" borderId="8" xfId="0" applyNumberFormat="1" applyBorder="1"/>
    <xf numFmtId="0" fontId="7" fillId="0" borderId="7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3" fillId="0" borderId="6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167" fontId="3" fillId="0" borderId="0" xfId="0" applyNumberFormat="1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/>
    </xf>
    <xf numFmtId="0" fontId="8" fillId="0" borderId="34" xfId="0" applyFont="1" applyBorder="1" applyAlignment="1">
      <alignment horizontal="center" vertical="center"/>
    </xf>
    <xf numFmtId="4" fontId="8" fillId="0" borderId="34" xfId="0" applyNumberFormat="1" applyFont="1" applyBorder="1" applyAlignment="1">
      <alignment horizontal="right" vertical="center"/>
    </xf>
    <xf numFmtId="4" fontId="8" fillId="0" borderId="35" xfId="0" applyNumberFormat="1" applyFont="1" applyBorder="1" applyAlignment="1">
      <alignment horizontal="right" vertical="center"/>
    </xf>
    <xf numFmtId="0" fontId="7" fillId="0" borderId="28" xfId="0" applyFont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/>
    <xf numFmtId="0" fontId="5" fillId="3" borderId="36" xfId="0" applyFont="1" applyFill="1" applyBorder="1" applyAlignment="1">
      <alignment horizontal="center" vertical="center"/>
    </xf>
    <xf numFmtId="0" fontId="10" fillId="0" borderId="37" xfId="0" applyFont="1" applyBorder="1"/>
    <xf numFmtId="165" fontId="5" fillId="3" borderId="38" xfId="0" applyNumberFormat="1" applyFont="1" applyFill="1" applyBorder="1" applyAlignment="1">
      <alignment horizontal="center" vertical="center"/>
    </xf>
    <xf numFmtId="17" fontId="5" fillId="3" borderId="39" xfId="0" applyNumberFormat="1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66" fontId="2" fillId="0" borderId="39" xfId="0" applyNumberFormat="1" applyFont="1" applyBorder="1" applyAlignment="1">
      <alignment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17" fontId="5" fillId="3" borderId="37" xfId="0" applyNumberFormat="1" applyFont="1" applyFill="1" applyBorder="1" applyAlignment="1">
      <alignment horizontal="center" vertical="center"/>
    </xf>
    <xf numFmtId="166" fontId="2" fillId="0" borderId="38" xfId="0" applyNumberFormat="1" applyFont="1" applyBorder="1" applyAlignment="1">
      <alignment vertical="center"/>
    </xf>
    <xf numFmtId="0" fontId="4" fillId="0" borderId="41" xfId="0" applyFont="1" applyBorder="1"/>
    <xf numFmtId="3" fontId="4" fillId="0" borderId="39" xfId="0" applyNumberFormat="1" applyFont="1" applyBorder="1"/>
    <xf numFmtId="164" fontId="2" fillId="0" borderId="39" xfId="1" applyNumberFormat="1" applyFont="1" applyBorder="1"/>
    <xf numFmtId="165" fontId="3" fillId="0" borderId="11" xfId="0" applyNumberFormat="1" applyFont="1" applyBorder="1" applyAlignment="1">
      <alignment horizontal="center" vertical="center"/>
    </xf>
    <xf numFmtId="166" fontId="3" fillId="0" borderId="13" xfId="0" applyNumberFormat="1" applyFont="1" applyBorder="1" applyAlignment="1">
      <alignment vertical="center"/>
    </xf>
    <xf numFmtId="166" fontId="2" fillId="0" borderId="11" xfId="0" applyNumberFormat="1" applyFont="1" applyBorder="1" applyAlignment="1">
      <alignment vertical="center"/>
    </xf>
    <xf numFmtId="166" fontId="3" fillId="0" borderId="12" xfId="0" applyNumberFormat="1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4"/>
  <sheetViews>
    <sheetView showGridLines="0" tabSelected="1" zoomScale="89" zoomScaleNormal="89" workbookViewId="0">
      <selection activeCell="O11" sqref="O11"/>
    </sheetView>
  </sheetViews>
  <sheetFormatPr defaultColWidth="8.6328125" defaultRowHeight="12.5" x14ac:dyDescent="0.25"/>
  <cols>
    <col min="1" max="1" width="11.6328125" style="3" customWidth="1"/>
    <col min="2" max="2" width="15.453125" style="3" bestFit="1" customWidth="1"/>
    <col min="3" max="3" width="10.6328125" style="3" bestFit="1" customWidth="1"/>
    <col min="4" max="4" width="2.90625" style="3" customWidth="1"/>
    <col min="5" max="5" width="5" style="3" bestFit="1" customWidth="1"/>
    <col min="6" max="6" width="10.90625" style="3" bestFit="1" customWidth="1"/>
    <col min="7" max="7" width="10.6328125" style="3" bestFit="1" customWidth="1"/>
    <col min="8" max="8" width="12.1796875" style="3" bestFit="1" customWidth="1"/>
    <col min="9" max="9" width="14.7265625" style="3" bestFit="1" customWidth="1"/>
    <col min="10" max="10" width="11.6328125" style="3" customWidth="1"/>
    <col min="11" max="11" width="8.6328125" style="3" customWidth="1"/>
    <col min="12" max="16384" width="8.6328125" style="3"/>
  </cols>
  <sheetData>
    <row r="2" spans="2:9" x14ac:dyDescent="0.25">
      <c r="B2" s="128" t="s">
        <v>0</v>
      </c>
      <c r="C2" s="129"/>
      <c r="D2" s="129"/>
      <c r="E2" s="129"/>
      <c r="F2" s="129"/>
      <c r="G2" s="129"/>
    </row>
    <row r="3" spans="2:9" x14ac:dyDescent="0.25">
      <c r="B3" s="128" t="s">
        <v>1</v>
      </c>
      <c r="C3" s="129"/>
      <c r="D3" s="129"/>
      <c r="E3" s="129"/>
      <c r="F3" s="129"/>
      <c r="G3" s="129"/>
    </row>
    <row r="4" spans="2:9" x14ac:dyDescent="0.25">
      <c r="B4" s="129"/>
      <c r="C4" s="129"/>
      <c r="D4" s="129"/>
      <c r="E4" s="129"/>
      <c r="F4" s="129"/>
      <c r="G4" s="129"/>
    </row>
    <row r="5" spans="2:9" x14ac:dyDescent="0.25">
      <c r="B5" s="130" t="s">
        <v>104</v>
      </c>
      <c r="C5" s="131"/>
      <c r="D5" s="131"/>
      <c r="E5" s="131"/>
      <c r="F5" s="131"/>
      <c r="G5" s="131"/>
    </row>
    <row r="6" spans="2:9" ht="13.5" customHeight="1" thickBot="1" x14ac:dyDescent="0.3"/>
    <row r="7" spans="2:9" ht="15" customHeight="1" thickBot="1" x14ac:dyDescent="0.4">
      <c r="B7" s="132" t="s">
        <v>2</v>
      </c>
      <c r="C7" s="133"/>
      <c r="D7" s="5"/>
      <c r="E7" s="118" t="s">
        <v>3</v>
      </c>
      <c r="F7" s="103"/>
      <c r="G7" s="104"/>
    </row>
    <row r="8" spans="2:9" ht="13.5" customHeight="1" x14ac:dyDescent="0.25">
      <c r="B8" s="134" t="s">
        <v>4</v>
      </c>
      <c r="C8" s="135">
        <v>46235</v>
      </c>
      <c r="D8" s="6"/>
      <c r="E8" s="138" t="s">
        <v>4</v>
      </c>
      <c r="F8" s="139" t="s">
        <v>5</v>
      </c>
      <c r="G8" s="140">
        <v>46235</v>
      </c>
    </row>
    <row r="9" spans="2:9" ht="13.5" customHeight="1" x14ac:dyDescent="0.25">
      <c r="B9" s="136">
        <v>1</v>
      </c>
      <c r="C9" s="137">
        <f>'Purchase August 2026'!G46</f>
        <v>291587.08</v>
      </c>
      <c r="D9" s="7"/>
      <c r="E9" s="141">
        <v>1</v>
      </c>
      <c r="F9" s="142">
        <v>903</v>
      </c>
      <c r="G9" s="143">
        <f>'Sales August 2026'!G30</f>
        <v>211674.70499999999</v>
      </c>
      <c r="I9" s="12"/>
    </row>
    <row r="10" spans="2:9" ht="13.5" customHeight="1" x14ac:dyDescent="0.25">
      <c r="B10" s="136">
        <v>2</v>
      </c>
      <c r="C10" s="137">
        <f>'Purchase August 2026'!N45</f>
        <v>231759.47999999992</v>
      </c>
      <c r="D10" s="7"/>
      <c r="E10" s="141">
        <v>2</v>
      </c>
      <c r="F10" s="142">
        <v>904</v>
      </c>
      <c r="G10" s="143">
        <f>'Sales August 2026'!N30</f>
        <v>109071.08300000003</v>
      </c>
      <c r="I10" s="12"/>
    </row>
    <row r="11" spans="2:9" ht="13.5" customHeight="1" x14ac:dyDescent="0.25">
      <c r="B11" s="136">
        <v>3</v>
      </c>
      <c r="C11" s="137">
        <f>'Purchase August 2026'!U41</f>
        <v>226034.10000000006</v>
      </c>
      <c r="D11" s="7"/>
      <c r="E11" s="141">
        <v>3</v>
      </c>
      <c r="F11" s="142">
        <v>905</v>
      </c>
      <c r="G11" s="143">
        <f>'Sales August 2026'!U30</f>
        <v>144846.16299999997</v>
      </c>
      <c r="I11" s="12"/>
    </row>
    <row r="12" spans="2:9" ht="13.5" customHeight="1" thickBot="1" x14ac:dyDescent="0.3">
      <c r="B12" s="136">
        <v>4</v>
      </c>
      <c r="C12" s="137">
        <f>'Purchase August 2026'!AB47</f>
        <v>340148.11999999994</v>
      </c>
      <c r="D12" s="7"/>
      <c r="E12" s="141">
        <v>4</v>
      </c>
      <c r="F12" s="142">
        <v>906</v>
      </c>
      <c r="G12" s="143">
        <f>'Sales August 2026'!AB29</f>
        <v>110089.26500000003</v>
      </c>
      <c r="I12" s="12"/>
    </row>
    <row r="13" spans="2:9" ht="13.5" customHeight="1" thickBot="1" x14ac:dyDescent="0.3">
      <c r="B13" s="145" t="s">
        <v>6</v>
      </c>
      <c r="C13" s="146">
        <f>SUM(C9:C12)</f>
        <v>1089528.78</v>
      </c>
      <c r="D13" s="7"/>
      <c r="E13" s="141">
        <v>5</v>
      </c>
      <c r="F13" s="142">
        <v>907</v>
      </c>
      <c r="G13" s="143">
        <f>'Sales August 2026'!AI27</f>
        <v>173109.10100000002</v>
      </c>
      <c r="I13" s="12"/>
    </row>
    <row r="14" spans="2:9" ht="15.75" customHeight="1" x14ac:dyDescent="0.25">
      <c r="B14" s="48"/>
      <c r="C14" s="49"/>
      <c r="D14" s="7"/>
      <c r="E14" s="141">
        <v>6</v>
      </c>
      <c r="F14" s="142">
        <v>908</v>
      </c>
      <c r="G14" s="144">
        <f>'Sales August 2026'!AP28</f>
        <v>75528.409</v>
      </c>
    </row>
    <row r="15" spans="2:9" ht="15.75" customHeight="1" x14ac:dyDescent="0.25">
      <c r="C15" s="1"/>
      <c r="D15" s="7"/>
      <c r="E15" s="141">
        <v>7</v>
      </c>
      <c r="F15" s="142">
        <v>909</v>
      </c>
      <c r="G15" s="143">
        <f>'Sales August 2026'!AW31</f>
        <v>255073.17</v>
      </c>
    </row>
    <row r="16" spans="2:9" ht="15.75" customHeight="1" thickBot="1" x14ac:dyDescent="0.3">
      <c r="B16" s="8"/>
      <c r="C16" s="2"/>
      <c r="D16" s="9"/>
      <c r="E16" s="141">
        <v>8</v>
      </c>
      <c r="F16" s="142">
        <v>910</v>
      </c>
      <c r="G16" s="143">
        <f>'Sales August 2026'!BD30</f>
        <v>119089.76200000005</v>
      </c>
    </row>
    <row r="17" spans="2:8" ht="13.5" customHeight="1" thickBot="1" x14ac:dyDescent="0.3">
      <c r="D17" s="1"/>
      <c r="E17" s="147"/>
      <c r="F17" s="148" t="s">
        <v>7</v>
      </c>
      <c r="G17" s="146">
        <f>SUM(G9:G16)</f>
        <v>1198481.6580000001</v>
      </c>
      <c r="H17" s="12"/>
    </row>
    <row r="18" spans="2:8" ht="13.5" customHeight="1" x14ac:dyDescent="0.25">
      <c r="E18" s="51"/>
      <c r="F18" s="8"/>
      <c r="G18" s="52"/>
    </row>
    <row r="19" spans="2:8" x14ac:dyDescent="0.25">
      <c r="E19" s="1"/>
      <c r="F19" s="10"/>
    </row>
    <row r="20" spans="2:8" x14ac:dyDescent="0.25">
      <c r="E20" s="1"/>
      <c r="F20" s="10"/>
    </row>
    <row r="21" spans="2:8" x14ac:dyDescent="0.25">
      <c r="G21" s="11"/>
    </row>
    <row r="24" spans="2:8" ht="14.5" x14ac:dyDescent="0.35">
      <c r="B24" s="26"/>
      <c r="E24" s="26"/>
    </row>
    <row r="25" spans="2:8" ht="14.5" x14ac:dyDescent="0.35">
      <c r="B25" s="26"/>
      <c r="C25" s="26"/>
      <c r="D25" s="26"/>
      <c r="E25" s="26"/>
      <c r="F25" s="26"/>
      <c r="G25" s="26"/>
    </row>
    <row r="26" spans="2:8" ht="14.5" x14ac:dyDescent="0.35">
      <c r="B26"/>
      <c r="C26" s="27"/>
      <c r="D26"/>
      <c r="E26"/>
      <c r="F26"/>
      <c r="G26" s="50"/>
    </row>
    <row r="27" spans="2:8" ht="14.5" x14ac:dyDescent="0.35">
      <c r="B27"/>
      <c r="C27" s="27"/>
      <c r="D27"/>
      <c r="E27"/>
      <c r="F27"/>
      <c r="G27"/>
    </row>
    <row r="28" spans="2:8" ht="14.5" x14ac:dyDescent="0.35">
      <c r="B28"/>
      <c r="C28" s="27"/>
      <c r="D28"/>
      <c r="E28"/>
      <c r="F28"/>
      <c r="G28"/>
    </row>
    <row r="29" spans="2:8" ht="14.5" x14ac:dyDescent="0.35">
      <c r="B29"/>
      <c r="C29" s="27"/>
      <c r="D29"/>
      <c r="E29"/>
      <c r="F29"/>
      <c r="G29"/>
    </row>
    <row r="30" spans="2:8" ht="14.5" x14ac:dyDescent="0.35">
      <c r="B30" s="26"/>
      <c r="D30" s="26"/>
      <c r="E30"/>
      <c r="F30"/>
      <c r="G30"/>
    </row>
    <row r="31" spans="2:8" ht="14.5" x14ac:dyDescent="0.35">
      <c r="E31"/>
      <c r="F31"/>
      <c r="G31"/>
    </row>
    <row r="32" spans="2:8" ht="14.5" x14ac:dyDescent="0.35">
      <c r="E32"/>
      <c r="F32"/>
      <c r="G32"/>
    </row>
    <row r="33" spans="5:7" ht="14.5" x14ac:dyDescent="0.35">
      <c r="E33"/>
      <c r="F33"/>
      <c r="G33"/>
    </row>
    <row r="34" spans="5:7" ht="14.5" x14ac:dyDescent="0.35">
      <c r="F34" s="26"/>
      <c r="G34" s="26"/>
    </row>
  </sheetData>
  <mergeCells count="3">
    <mergeCell ref="B5:G5"/>
    <mergeCell ref="E7:G7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I88"/>
  <sheetViews>
    <sheetView showGridLines="0" zoomScale="63" zoomScaleNormal="63" workbookViewId="0">
      <selection activeCell="G46" sqref="G46"/>
    </sheetView>
  </sheetViews>
  <sheetFormatPr defaultColWidth="8.6328125" defaultRowHeight="12.5" x14ac:dyDescent="0.25"/>
  <cols>
    <col min="1" max="1" width="8.6328125" style="3" customWidth="1"/>
    <col min="2" max="2" width="5.54296875" style="3" bestFit="1" customWidth="1"/>
    <col min="3" max="3" width="102.36328125" style="3" bestFit="1" customWidth="1"/>
    <col min="4" max="4" width="5.90625" style="3" bestFit="1" customWidth="1"/>
    <col min="5" max="5" width="5.453125" style="3" bestFit="1" customWidth="1"/>
    <col min="6" max="6" width="16.08984375" style="3" bestFit="1" customWidth="1"/>
    <col min="7" max="7" width="18.1796875" style="3" bestFit="1" customWidth="1"/>
    <col min="8" max="8" width="3" style="3" customWidth="1"/>
    <col min="9" max="9" width="5.54296875" style="3" bestFit="1" customWidth="1"/>
    <col min="10" max="10" width="70.81640625" style="3" bestFit="1" customWidth="1"/>
    <col min="11" max="11" width="5.90625" style="3" bestFit="1" customWidth="1"/>
    <col min="12" max="12" width="5.453125" style="3" bestFit="1" customWidth="1"/>
    <col min="13" max="13" width="16.08984375" style="3" bestFit="1" customWidth="1"/>
    <col min="14" max="14" width="18.1796875" style="3" bestFit="1" customWidth="1"/>
    <col min="15" max="15" width="3" style="3" customWidth="1"/>
    <col min="16" max="16" width="5.54296875" style="3" bestFit="1" customWidth="1"/>
    <col min="17" max="17" width="70.81640625" style="3" bestFit="1" customWidth="1"/>
    <col min="18" max="18" width="5.90625" style="3" bestFit="1" customWidth="1"/>
    <col min="19" max="19" width="5.453125" style="3" bestFit="1" customWidth="1"/>
    <col min="20" max="20" width="16.08984375" style="3" bestFit="1" customWidth="1"/>
    <col min="21" max="21" width="18.1796875" style="3" bestFit="1" customWidth="1"/>
    <col min="22" max="22" width="3" style="3" customWidth="1"/>
    <col min="23" max="23" width="5.54296875" style="3" bestFit="1" customWidth="1"/>
    <col min="24" max="24" width="70.81640625" style="3" bestFit="1" customWidth="1"/>
    <col min="25" max="25" width="5.90625" style="3" bestFit="1" customWidth="1"/>
    <col min="26" max="26" width="5.453125" style="3" bestFit="1" customWidth="1"/>
    <col min="27" max="27" width="16.08984375" style="3" bestFit="1" customWidth="1"/>
    <col min="28" max="28" width="13.90625" style="3" bestFit="1" customWidth="1"/>
    <col min="29" max="29" width="3" style="3" customWidth="1"/>
    <col min="30" max="30" width="5.54296875" style="3" bestFit="1" customWidth="1"/>
    <col min="31" max="31" width="46" style="3" customWidth="1"/>
    <col min="32" max="32" width="5.90625" style="3" bestFit="1" customWidth="1"/>
    <col min="33" max="33" width="5.453125" style="3" bestFit="1" customWidth="1"/>
    <col min="34" max="34" width="11.90625" style="3" bestFit="1" customWidth="1"/>
    <col min="35" max="35" width="13.90625" style="3" bestFit="1" customWidth="1"/>
    <col min="36" max="36" width="3" style="3" customWidth="1"/>
    <col min="37" max="37" width="8.6328125" style="3" customWidth="1"/>
    <col min="38" max="16384" width="8.6328125" style="3"/>
  </cols>
  <sheetData>
    <row r="2" spans="2:35" ht="13" thickBot="1" x14ac:dyDescent="0.3"/>
    <row r="3" spans="2:35" ht="18" customHeight="1" thickBot="1" x14ac:dyDescent="0.4">
      <c r="B3" s="102" t="s">
        <v>8</v>
      </c>
      <c r="C3" s="103"/>
      <c r="D3" s="103"/>
      <c r="E3" s="103"/>
      <c r="F3" s="103"/>
      <c r="G3" s="104"/>
      <c r="I3" s="102" t="s">
        <v>8</v>
      </c>
      <c r="J3" s="103"/>
      <c r="K3" s="103"/>
      <c r="L3" s="103"/>
      <c r="M3" s="103"/>
      <c r="N3" s="104"/>
      <c r="P3" s="102" t="s">
        <v>8</v>
      </c>
      <c r="Q3" s="103"/>
      <c r="R3" s="103"/>
      <c r="S3" s="103"/>
      <c r="T3" s="103"/>
      <c r="U3" s="104"/>
      <c r="W3" s="102" t="s">
        <v>8</v>
      </c>
      <c r="X3" s="103"/>
      <c r="Y3" s="103"/>
      <c r="Z3" s="103"/>
      <c r="AA3" s="103"/>
      <c r="AB3" s="104"/>
      <c r="AD3" s="116"/>
      <c r="AE3" s="106"/>
      <c r="AF3" s="106"/>
      <c r="AG3" s="106"/>
      <c r="AH3" s="106"/>
      <c r="AI3" s="106"/>
    </row>
    <row r="4" spans="2:35" ht="18" customHeight="1" x14ac:dyDescent="0.35">
      <c r="B4" s="111" t="s">
        <v>9</v>
      </c>
      <c r="C4" s="112"/>
      <c r="D4" s="112"/>
      <c r="E4" s="112"/>
      <c r="F4" s="112"/>
      <c r="G4" s="113"/>
      <c r="I4" s="111" t="s">
        <v>9</v>
      </c>
      <c r="J4" s="112"/>
      <c r="K4" s="112"/>
      <c r="L4" s="112"/>
      <c r="M4" s="112"/>
      <c r="N4" s="113"/>
      <c r="P4" s="111" t="s">
        <v>9</v>
      </c>
      <c r="Q4" s="112"/>
      <c r="R4" s="112"/>
      <c r="S4" s="112"/>
      <c r="T4" s="112"/>
      <c r="U4" s="113"/>
      <c r="W4" s="111" t="s">
        <v>9</v>
      </c>
      <c r="X4" s="112"/>
      <c r="Y4" s="112"/>
      <c r="Z4" s="112"/>
      <c r="AA4" s="112"/>
      <c r="AB4" s="113"/>
      <c r="AD4" s="105"/>
      <c r="AE4" s="106"/>
      <c r="AF4" s="106"/>
      <c r="AG4" s="106"/>
      <c r="AH4" s="106"/>
      <c r="AI4" s="106"/>
    </row>
    <row r="5" spans="2:35" ht="18" customHeight="1" x14ac:dyDescent="0.35">
      <c r="B5" s="101" t="s">
        <v>10</v>
      </c>
      <c r="C5" s="96"/>
      <c r="D5" s="96"/>
      <c r="E5" s="96"/>
      <c r="F5" s="96"/>
      <c r="G5" s="97"/>
      <c r="I5" s="101" t="s">
        <v>10</v>
      </c>
      <c r="J5" s="96"/>
      <c r="K5" s="96"/>
      <c r="L5" s="96"/>
      <c r="M5" s="96"/>
      <c r="N5" s="97"/>
      <c r="P5" s="101" t="s">
        <v>10</v>
      </c>
      <c r="Q5" s="96"/>
      <c r="R5" s="96"/>
      <c r="S5" s="96"/>
      <c r="T5" s="96"/>
      <c r="U5" s="97"/>
      <c r="W5" s="101" t="s">
        <v>10</v>
      </c>
      <c r="X5" s="96"/>
      <c r="Y5" s="96"/>
      <c r="Z5" s="96"/>
      <c r="AA5" s="96"/>
      <c r="AB5" s="97"/>
      <c r="AD5" s="105"/>
      <c r="AE5" s="106"/>
      <c r="AF5" s="106"/>
      <c r="AG5" s="106"/>
      <c r="AH5" s="106"/>
      <c r="AI5" s="106"/>
    </row>
    <row r="6" spans="2:35" ht="18" customHeight="1" x14ac:dyDescent="0.35">
      <c r="B6" s="110" t="s">
        <v>67</v>
      </c>
      <c r="C6" s="96"/>
      <c r="D6" s="40" t="s">
        <v>11</v>
      </c>
      <c r="E6" s="95">
        <v>46241</v>
      </c>
      <c r="F6" s="96"/>
      <c r="G6" s="97"/>
      <c r="I6" s="110" t="s">
        <v>68</v>
      </c>
      <c r="J6" s="96"/>
      <c r="K6" s="40" t="s">
        <v>11</v>
      </c>
      <c r="L6" s="95" t="s">
        <v>105</v>
      </c>
      <c r="M6" s="96"/>
      <c r="N6" s="97"/>
      <c r="P6" s="110" t="s">
        <v>69</v>
      </c>
      <c r="Q6" s="96"/>
      <c r="R6" s="40" t="s">
        <v>11</v>
      </c>
      <c r="S6" s="95" t="s">
        <v>106</v>
      </c>
      <c r="T6" s="96"/>
      <c r="U6" s="97"/>
      <c r="W6" s="110" t="s">
        <v>70</v>
      </c>
      <c r="X6" s="96"/>
      <c r="Y6" s="40" t="s">
        <v>11</v>
      </c>
      <c r="Z6" s="95" t="s">
        <v>107</v>
      </c>
      <c r="AA6" s="96"/>
      <c r="AB6" s="97"/>
      <c r="AD6" s="105"/>
      <c r="AE6" s="106"/>
      <c r="AF6" s="15"/>
      <c r="AG6" s="117"/>
      <c r="AH6" s="106"/>
      <c r="AI6" s="106"/>
    </row>
    <row r="7" spans="2:35" ht="18" customHeight="1" x14ac:dyDescent="0.35">
      <c r="B7" s="114"/>
      <c r="C7" s="96"/>
      <c r="D7" s="96"/>
      <c r="E7" s="96"/>
      <c r="F7" s="96"/>
      <c r="G7" s="97"/>
      <c r="I7" s="114"/>
      <c r="J7" s="96"/>
      <c r="K7" s="96"/>
      <c r="L7" s="96"/>
      <c r="M7" s="96"/>
      <c r="N7" s="97"/>
      <c r="P7" s="114"/>
      <c r="Q7" s="96"/>
      <c r="R7" s="96"/>
      <c r="S7" s="96"/>
      <c r="T7" s="96"/>
      <c r="U7" s="97"/>
      <c r="W7" s="114"/>
      <c r="X7" s="96"/>
      <c r="Y7" s="96"/>
      <c r="Z7" s="96"/>
      <c r="AA7" s="96"/>
      <c r="AB7" s="97"/>
      <c r="AD7" s="105"/>
      <c r="AE7" s="106"/>
      <c r="AF7" s="106"/>
      <c r="AG7" s="106"/>
      <c r="AH7" s="106"/>
      <c r="AI7" s="106"/>
    </row>
    <row r="8" spans="2:35" ht="18" customHeight="1" x14ac:dyDescent="0.35">
      <c r="B8" s="110" t="s">
        <v>12</v>
      </c>
      <c r="C8" s="96"/>
      <c r="D8" s="98" t="s">
        <v>13</v>
      </c>
      <c r="E8" s="96"/>
      <c r="F8" s="96"/>
      <c r="G8" s="97"/>
      <c r="I8" s="110" t="s">
        <v>12</v>
      </c>
      <c r="J8" s="96"/>
      <c r="K8" s="98" t="s">
        <v>13</v>
      </c>
      <c r="L8" s="96"/>
      <c r="M8" s="96"/>
      <c r="N8" s="97"/>
      <c r="P8" s="110" t="s">
        <v>12</v>
      </c>
      <c r="Q8" s="96"/>
      <c r="R8" s="98" t="s">
        <v>13</v>
      </c>
      <c r="S8" s="96"/>
      <c r="T8" s="96"/>
      <c r="U8" s="97"/>
      <c r="W8" s="110" t="s">
        <v>12</v>
      </c>
      <c r="X8" s="96"/>
      <c r="Y8" s="98" t="s">
        <v>13</v>
      </c>
      <c r="Z8" s="96"/>
      <c r="AA8" s="96"/>
      <c r="AB8" s="97"/>
      <c r="AD8" s="105"/>
      <c r="AE8" s="106"/>
      <c r="AF8" s="105"/>
      <c r="AG8" s="106"/>
      <c r="AH8" s="106"/>
      <c r="AI8" s="106"/>
    </row>
    <row r="9" spans="2:35" ht="18" customHeight="1" x14ac:dyDescent="0.35">
      <c r="B9" s="107" t="s">
        <v>14</v>
      </c>
      <c r="C9" s="96"/>
      <c r="D9" s="115" t="s">
        <v>15</v>
      </c>
      <c r="E9" s="96"/>
      <c r="F9" s="96"/>
      <c r="G9" s="97"/>
      <c r="I9" s="107" t="s">
        <v>14</v>
      </c>
      <c r="J9" s="96"/>
      <c r="K9" s="115" t="s">
        <v>15</v>
      </c>
      <c r="L9" s="96"/>
      <c r="M9" s="96"/>
      <c r="N9" s="97"/>
      <c r="P9" s="107" t="s">
        <v>14</v>
      </c>
      <c r="Q9" s="96"/>
      <c r="R9" s="115" t="s">
        <v>15</v>
      </c>
      <c r="S9" s="96"/>
      <c r="T9" s="96"/>
      <c r="U9" s="97"/>
      <c r="W9" s="107" t="s">
        <v>14</v>
      </c>
      <c r="X9" s="96"/>
      <c r="Y9" s="115" t="s">
        <v>15</v>
      </c>
      <c r="Z9" s="96"/>
      <c r="AA9" s="96"/>
      <c r="AB9" s="97"/>
      <c r="AD9" s="105"/>
      <c r="AE9" s="106"/>
      <c r="AF9" s="105"/>
      <c r="AG9" s="106"/>
      <c r="AH9" s="106"/>
      <c r="AI9" s="106"/>
    </row>
    <row r="10" spans="2:35" ht="18" customHeight="1" x14ac:dyDescent="0.35">
      <c r="B10" s="107" t="s">
        <v>16</v>
      </c>
      <c r="C10" s="96"/>
      <c r="D10" s="115" t="s">
        <v>16</v>
      </c>
      <c r="E10" s="96"/>
      <c r="F10" s="96"/>
      <c r="G10" s="97"/>
      <c r="I10" s="107" t="s">
        <v>16</v>
      </c>
      <c r="J10" s="96"/>
      <c r="K10" s="115" t="s">
        <v>16</v>
      </c>
      <c r="L10" s="96"/>
      <c r="M10" s="96"/>
      <c r="N10" s="97"/>
      <c r="P10" s="107" t="s">
        <v>16</v>
      </c>
      <c r="Q10" s="96"/>
      <c r="R10" s="115" t="s">
        <v>16</v>
      </c>
      <c r="S10" s="96"/>
      <c r="T10" s="96"/>
      <c r="U10" s="97"/>
      <c r="W10" s="107" t="s">
        <v>16</v>
      </c>
      <c r="X10" s="96"/>
      <c r="Y10" s="115" t="s">
        <v>16</v>
      </c>
      <c r="Z10" s="96"/>
      <c r="AA10" s="96"/>
      <c r="AB10" s="97"/>
      <c r="AD10" s="105"/>
      <c r="AE10" s="106"/>
      <c r="AF10" s="105"/>
      <c r="AG10" s="106"/>
      <c r="AH10" s="106"/>
      <c r="AI10" s="106"/>
    </row>
    <row r="11" spans="2:35" ht="18" customHeight="1" x14ac:dyDescent="0.35">
      <c r="B11" s="107" t="s">
        <v>17</v>
      </c>
      <c r="C11" s="96"/>
      <c r="D11" s="115" t="s">
        <v>17</v>
      </c>
      <c r="E11" s="96"/>
      <c r="F11" s="96"/>
      <c r="G11" s="97"/>
      <c r="I11" s="107" t="s">
        <v>17</v>
      </c>
      <c r="J11" s="96"/>
      <c r="K11" s="115" t="s">
        <v>17</v>
      </c>
      <c r="L11" s="96"/>
      <c r="M11" s="96"/>
      <c r="N11" s="97"/>
      <c r="P11" s="107" t="s">
        <v>17</v>
      </c>
      <c r="Q11" s="96"/>
      <c r="R11" s="115" t="s">
        <v>17</v>
      </c>
      <c r="S11" s="96"/>
      <c r="T11" s="96"/>
      <c r="U11" s="97"/>
      <c r="W11" s="107" t="s">
        <v>17</v>
      </c>
      <c r="X11" s="96"/>
      <c r="Y11" s="115" t="s">
        <v>17</v>
      </c>
      <c r="Z11" s="96"/>
      <c r="AA11" s="96"/>
      <c r="AB11" s="97"/>
      <c r="AD11" s="105"/>
      <c r="AE11" s="106"/>
      <c r="AF11" s="105"/>
      <c r="AG11" s="106"/>
      <c r="AH11" s="106"/>
      <c r="AI11" s="106"/>
    </row>
    <row r="12" spans="2:35" ht="18" customHeight="1" thickBot="1" x14ac:dyDescent="0.4">
      <c r="B12" s="119" t="s">
        <v>18</v>
      </c>
      <c r="C12" s="94"/>
      <c r="D12" s="99"/>
      <c r="E12" s="94"/>
      <c r="F12" s="94"/>
      <c r="G12" s="100"/>
      <c r="I12" s="93" t="s">
        <v>18</v>
      </c>
      <c r="J12" s="94"/>
      <c r="K12" s="99"/>
      <c r="L12" s="94"/>
      <c r="M12" s="94"/>
      <c r="N12" s="100"/>
      <c r="P12" s="93" t="s">
        <v>18</v>
      </c>
      <c r="Q12" s="94"/>
      <c r="R12" s="99"/>
      <c r="S12" s="94"/>
      <c r="T12" s="94"/>
      <c r="U12" s="100"/>
      <c r="W12" s="93" t="s">
        <v>18</v>
      </c>
      <c r="X12" s="94"/>
      <c r="Y12" s="99"/>
      <c r="Z12" s="94"/>
      <c r="AA12" s="94"/>
      <c r="AB12" s="100"/>
      <c r="AD12" s="105"/>
      <c r="AE12" s="106"/>
      <c r="AF12" s="105"/>
      <c r="AG12" s="106"/>
      <c r="AH12" s="106"/>
      <c r="AI12" s="106"/>
    </row>
    <row r="13" spans="2:35" ht="18" customHeight="1" thickBot="1" x14ac:dyDescent="0.3">
      <c r="B13" s="43" t="s">
        <v>19</v>
      </c>
      <c r="C13" s="124" t="s">
        <v>20</v>
      </c>
      <c r="D13" s="125" t="s">
        <v>21</v>
      </c>
      <c r="E13" s="125" t="s">
        <v>22</v>
      </c>
      <c r="F13" s="125" t="s">
        <v>23</v>
      </c>
      <c r="G13" s="126" t="s">
        <v>24</v>
      </c>
      <c r="I13" s="127" t="s">
        <v>19</v>
      </c>
      <c r="J13" s="73" t="s">
        <v>20</v>
      </c>
      <c r="K13" s="125" t="s">
        <v>21</v>
      </c>
      <c r="L13" s="125" t="s">
        <v>22</v>
      </c>
      <c r="M13" s="125" t="s">
        <v>23</v>
      </c>
      <c r="N13" s="126" t="s">
        <v>24</v>
      </c>
      <c r="P13" s="127" t="s">
        <v>19</v>
      </c>
      <c r="Q13" s="73" t="s">
        <v>20</v>
      </c>
      <c r="R13" s="125" t="s">
        <v>21</v>
      </c>
      <c r="S13" s="125" t="s">
        <v>22</v>
      </c>
      <c r="T13" s="125" t="s">
        <v>23</v>
      </c>
      <c r="U13" s="126" t="s">
        <v>24</v>
      </c>
      <c r="W13" s="127" t="s">
        <v>19</v>
      </c>
      <c r="X13" s="73" t="s">
        <v>20</v>
      </c>
      <c r="Y13" s="125" t="s">
        <v>21</v>
      </c>
      <c r="Z13" s="125" t="s">
        <v>22</v>
      </c>
      <c r="AA13" s="125" t="s">
        <v>23</v>
      </c>
      <c r="AB13" s="126" t="s">
        <v>24</v>
      </c>
      <c r="AD13" s="4"/>
      <c r="AE13" s="4"/>
      <c r="AF13" s="17"/>
      <c r="AG13" s="17"/>
      <c r="AH13" s="17"/>
      <c r="AI13" s="17"/>
    </row>
    <row r="14" spans="2:35" ht="18" customHeight="1" x14ac:dyDescent="0.25">
      <c r="B14" s="82">
        <v>1</v>
      </c>
      <c r="C14" s="120" t="s">
        <v>71</v>
      </c>
      <c r="D14" s="121">
        <v>0</v>
      </c>
      <c r="E14" s="121">
        <v>24</v>
      </c>
      <c r="F14" s="122">
        <v>4363.6400000000003</v>
      </c>
      <c r="G14" s="123">
        <v>2181.8200000000002</v>
      </c>
      <c r="I14" s="82">
        <v>1</v>
      </c>
      <c r="J14" s="120" t="s">
        <v>25</v>
      </c>
      <c r="K14" s="121">
        <v>1</v>
      </c>
      <c r="L14" s="121">
        <v>0</v>
      </c>
      <c r="M14" s="122">
        <v>2509.06</v>
      </c>
      <c r="N14" s="123">
        <v>2509.06</v>
      </c>
      <c r="P14" s="82">
        <v>1</v>
      </c>
      <c r="Q14" s="120" t="s">
        <v>27</v>
      </c>
      <c r="R14" s="121">
        <v>2</v>
      </c>
      <c r="S14" s="121">
        <v>0</v>
      </c>
      <c r="T14" s="122">
        <v>6731.49</v>
      </c>
      <c r="U14" s="123">
        <v>13462.98</v>
      </c>
      <c r="W14" s="82">
        <v>1</v>
      </c>
      <c r="X14" s="120" t="s">
        <v>26</v>
      </c>
      <c r="Y14" s="121">
        <v>1</v>
      </c>
      <c r="Z14" s="121">
        <v>0</v>
      </c>
      <c r="AA14" s="122">
        <v>6984.75</v>
      </c>
      <c r="AB14" s="123">
        <v>6984.75</v>
      </c>
      <c r="AD14" s="5"/>
      <c r="AE14" s="18"/>
      <c r="AF14" s="5"/>
      <c r="AG14" s="5"/>
      <c r="AH14" s="19"/>
      <c r="AI14" s="19"/>
    </row>
    <row r="15" spans="2:35" ht="18" customHeight="1" x14ac:dyDescent="0.25">
      <c r="B15" s="67">
        <v>2</v>
      </c>
      <c r="C15" s="29" t="s">
        <v>28</v>
      </c>
      <c r="D15" s="28">
        <v>0</v>
      </c>
      <c r="E15" s="28">
        <v>24</v>
      </c>
      <c r="F15" s="30">
        <v>4363.6400000000003</v>
      </c>
      <c r="G15" s="68">
        <v>2181.8200000000002</v>
      </c>
      <c r="I15" s="67">
        <v>2</v>
      </c>
      <c r="J15" s="29" t="s">
        <v>72</v>
      </c>
      <c r="K15" s="28">
        <v>1</v>
      </c>
      <c r="L15" s="28">
        <v>0</v>
      </c>
      <c r="M15" s="30">
        <v>2836.36</v>
      </c>
      <c r="N15" s="68">
        <v>2836.36</v>
      </c>
      <c r="P15" s="67">
        <v>2</v>
      </c>
      <c r="Q15" s="29" t="s">
        <v>31</v>
      </c>
      <c r="R15" s="28">
        <v>1</v>
      </c>
      <c r="S15" s="28">
        <v>0</v>
      </c>
      <c r="T15" s="30">
        <v>8805.34</v>
      </c>
      <c r="U15" s="68">
        <v>8805.34</v>
      </c>
      <c r="W15" s="67">
        <v>2</v>
      </c>
      <c r="X15" s="29" t="s">
        <v>30</v>
      </c>
      <c r="Y15" s="28">
        <v>2</v>
      </c>
      <c r="Z15" s="28">
        <v>0</v>
      </c>
      <c r="AA15" s="30">
        <v>6731.49</v>
      </c>
      <c r="AB15" s="68">
        <v>13462.98</v>
      </c>
      <c r="AD15" s="5"/>
      <c r="AE15" s="18"/>
      <c r="AF15" s="5"/>
      <c r="AG15" s="5"/>
      <c r="AH15" s="19"/>
      <c r="AI15" s="19"/>
    </row>
    <row r="16" spans="2:35" ht="18" customHeight="1" x14ac:dyDescent="0.25">
      <c r="B16" s="67">
        <v>3</v>
      </c>
      <c r="C16" s="29" t="s">
        <v>73</v>
      </c>
      <c r="D16" s="28">
        <v>1</v>
      </c>
      <c r="E16" s="28">
        <v>0</v>
      </c>
      <c r="F16" s="30">
        <v>8718.7800000000007</v>
      </c>
      <c r="G16" s="68">
        <v>8718.7800000000007</v>
      </c>
      <c r="I16" s="67">
        <v>3</v>
      </c>
      <c r="J16" s="29" t="s">
        <v>30</v>
      </c>
      <c r="K16" s="28">
        <v>1</v>
      </c>
      <c r="L16" s="28">
        <v>0</v>
      </c>
      <c r="M16" s="30">
        <v>6731.49</v>
      </c>
      <c r="N16" s="68">
        <v>6731.49</v>
      </c>
      <c r="P16" s="67">
        <v>3</v>
      </c>
      <c r="Q16" s="29" t="s">
        <v>33</v>
      </c>
      <c r="R16" s="28">
        <v>1</v>
      </c>
      <c r="S16" s="28">
        <v>0</v>
      </c>
      <c r="T16" s="30">
        <v>7156.97</v>
      </c>
      <c r="U16" s="68">
        <v>7156.97</v>
      </c>
      <c r="W16" s="67">
        <v>3</v>
      </c>
      <c r="X16" s="29" t="s">
        <v>74</v>
      </c>
      <c r="Y16" s="28">
        <v>0</v>
      </c>
      <c r="Z16" s="28">
        <v>3</v>
      </c>
      <c r="AA16" s="30">
        <v>25883.17</v>
      </c>
      <c r="AB16" s="68">
        <v>6470.79</v>
      </c>
      <c r="AD16" s="5"/>
      <c r="AE16" s="18"/>
      <c r="AF16" s="5"/>
      <c r="AG16" s="5"/>
      <c r="AH16" s="19"/>
      <c r="AI16" s="19"/>
    </row>
    <row r="17" spans="2:35" ht="18" customHeight="1" x14ac:dyDescent="0.25">
      <c r="B17" s="67">
        <v>4</v>
      </c>
      <c r="C17" s="29" t="s">
        <v>26</v>
      </c>
      <c r="D17" s="28">
        <v>1</v>
      </c>
      <c r="E17" s="28">
        <v>0</v>
      </c>
      <c r="F17" s="30">
        <v>6984.75</v>
      </c>
      <c r="G17" s="68">
        <v>6984.75</v>
      </c>
      <c r="I17" s="67">
        <v>4</v>
      </c>
      <c r="J17" s="29" t="s">
        <v>74</v>
      </c>
      <c r="K17" s="28">
        <v>0</v>
      </c>
      <c r="L17" s="28">
        <v>3</v>
      </c>
      <c r="M17" s="30">
        <v>25883.17</v>
      </c>
      <c r="N17" s="68">
        <v>6470.79</v>
      </c>
      <c r="P17" s="67">
        <v>4</v>
      </c>
      <c r="Q17" s="29" t="s">
        <v>75</v>
      </c>
      <c r="R17" s="28">
        <v>1</v>
      </c>
      <c r="S17" s="28">
        <v>0</v>
      </c>
      <c r="T17" s="30">
        <v>9084.2000000000007</v>
      </c>
      <c r="U17" s="68">
        <v>9084.2000000000007</v>
      </c>
      <c r="W17" s="67">
        <v>4</v>
      </c>
      <c r="X17" s="29" t="s">
        <v>29</v>
      </c>
      <c r="Y17" s="28">
        <v>0</v>
      </c>
      <c r="Z17" s="28">
        <v>24</v>
      </c>
      <c r="AA17" s="30">
        <v>25154.37</v>
      </c>
      <c r="AB17" s="68">
        <v>12577.19</v>
      </c>
      <c r="AD17" s="5"/>
      <c r="AE17" s="18"/>
      <c r="AF17" s="5"/>
      <c r="AG17" s="5"/>
      <c r="AH17" s="19"/>
      <c r="AI17" s="19"/>
    </row>
    <row r="18" spans="2:35" ht="18" customHeight="1" x14ac:dyDescent="0.25">
      <c r="B18" s="67">
        <v>5</v>
      </c>
      <c r="C18" s="29" t="s">
        <v>31</v>
      </c>
      <c r="D18" s="28">
        <v>2</v>
      </c>
      <c r="E18" s="28">
        <v>0</v>
      </c>
      <c r="F18" s="30">
        <v>8805.34</v>
      </c>
      <c r="G18" s="68">
        <v>17610.68</v>
      </c>
      <c r="I18" s="67">
        <v>5</v>
      </c>
      <c r="J18" s="29" t="s">
        <v>29</v>
      </c>
      <c r="K18" s="28">
        <v>0</v>
      </c>
      <c r="L18" s="28">
        <v>24</v>
      </c>
      <c r="M18" s="30">
        <v>25154.37</v>
      </c>
      <c r="N18" s="68">
        <v>12577.19</v>
      </c>
      <c r="P18" s="67">
        <v>5</v>
      </c>
      <c r="Q18" s="29" t="s">
        <v>32</v>
      </c>
      <c r="R18" s="28">
        <v>2</v>
      </c>
      <c r="S18" s="28">
        <v>0</v>
      </c>
      <c r="T18" s="30">
        <v>9628.7000000000007</v>
      </c>
      <c r="U18" s="68">
        <v>19257.400000000001</v>
      </c>
      <c r="W18" s="67">
        <v>5</v>
      </c>
      <c r="X18" s="29" t="s">
        <v>31</v>
      </c>
      <c r="Y18" s="28">
        <v>2</v>
      </c>
      <c r="Z18" s="28">
        <v>0</v>
      </c>
      <c r="AA18" s="30">
        <v>8805.34</v>
      </c>
      <c r="AB18" s="68">
        <v>17610.68</v>
      </c>
      <c r="AD18" s="5"/>
      <c r="AE18" s="18"/>
      <c r="AF18" s="5"/>
      <c r="AG18" s="5"/>
      <c r="AH18" s="19"/>
      <c r="AI18" s="19"/>
    </row>
    <row r="19" spans="2:35" ht="18" customHeight="1" x14ac:dyDescent="0.25">
      <c r="B19" s="67">
        <v>6</v>
      </c>
      <c r="C19" s="29" t="s">
        <v>35</v>
      </c>
      <c r="D19" s="28">
        <v>1</v>
      </c>
      <c r="E19" s="28">
        <v>0</v>
      </c>
      <c r="F19" s="30">
        <v>8726.82</v>
      </c>
      <c r="G19" s="68">
        <v>8726.82</v>
      </c>
      <c r="I19" s="67">
        <v>6</v>
      </c>
      <c r="J19" s="29" t="s">
        <v>33</v>
      </c>
      <c r="K19" s="28">
        <v>1</v>
      </c>
      <c r="L19" s="28">
        <v>0</v>
      </c>
      <c r="M19" s="30">
        <v>7156.97</v>
      </c>
      <c r="N19" s="68">
        <v>7156.97</v>
      </c>
      <c r="P19" s="67">
        <v>6</v>
      </c>
      <c r="Q19" s="29" t="s">
        <v>34</v>
      </c>
      <c r="R19" s="28">
        <v>1</v>
      </c>
      <c r="S19" s="28">
        <v>0</v>
      </c>
      <c r="T19" s="30">
        <v>9295.7800000000007</v>
      </c>
      <c r="U19" s="68">
        <v>9295.7800000000007</v>
      </c>
      <c r="W19" s="67">
        <v>6</v>
      </c>
      <c r="X19" s="29" t="s">
        <v>32</v>
      </c>
      <c r="Y19" s="28">
        <v>3</v>
      </c>
      <c r="Z19" s="28">
        <v>0</v>
      </c>
      <c r="AA19" s="30">
        <v>9628.7000000000007</v>
      </c>
      <c r="AB19" s="68">
        <v>28886.1</v>
      </c>
      <c r="AD19" s="5"/>
      <c r="AE19" s="18"/>
      <c r="AF19" s="5"/>
      <c r="AG19" s="5"/>
      <c r="AH19" s="19"/>
      <c r="AI19" s="19"/>
    </row>
    <row r="20" spans="2:35" ht="18" customHeight="1" x14ac:dyDescent="0.25">
      <c r="B20" s="67">
        <v>7</v>
      </c>
      <c r="C20" s="29" t="s">
        <v>76</v>
      </c>
      <c r="D20" s="28">
        <v>5</v>
      </c>
      <c r="E20" s="28">
        <v>0</v>
      </c>
      <c r="F20" s="30">
        <v>9295.7800000000007</v>
      </c>
      <c r="G20" s="68">
        <v>46478.9</v>
      </c>
      <c r="I20" s="67">
        <v>7</v>
      </c>
      <c r="J20" s="29" t="s">
        <v>32</v>
      </c>
      <c r="K20" s="28">
        <v>1</v>
      </c>
      <c r="L20" s="28">
        <v>0</v>
      </c>
      <c r="M20" s="30">
        <v>9628.7000000000007</v>
      </c>
      <c r="N20" s="68">
        <v>9628.7000000000007</v>
      </c>
      <c r="P20" s="67">
        <v>7</v>
      </c>
      <c r="Q20" s="29" t="s">
        <v>77</v>
      </c>
      <c r="R20" s="28">
        <v>1</v>
      </c>
      <c r="S20" s="28">
        <v>0</v>
      </c>
      <c r="T20" s="30">
        <v>7179.32</v>
      </c>
      <c r="U20" s="68">
        <v>7179.32</v>
      </c>
      <c r="W20" s="67">
        <v>7</v>
      </c>
      <c r="X20" s="29" t="s">
        <v>34</v>
      </c>
      <c r="Y20" s="28">
        <v>2</v>
      </c>
      <c r="Z20" s="28">
        <v>0</v>
      </c>
      <c r="AA20" s="30">
        <v>9295.7800000000007</v>
      </c>
      <c r="AB20" s="68">
        <v>18591.560000000001</v>
      </c>
      <c r="AD20" s="5"/>
      <c r="AE20" s="18"/>
      <c r="AF20" s="5"/>
      <c r="AG20" s="5"/>
      <c r="AH20" s="19"/>
      <c r="AI20" s="19"/>
    </row>
    <row r="21" spans="2:35" ht="18" customHeight="1" x14ac:dyDescent="0.25">
      <c r="B21" s="67">
        <v>8</v>
      </c>
      <c r="C21" s="29" t="s">
        <v>38</v>
      </c>
      <c r="D21" s="28">
        <v>1</v>
      </c>
      <c r="E21" s="28">
        <v>0</v>
      </c>
      <c r="F21" s="30">
        <v>7447.05</v>
      </c>
      <c r="G21" s="68">
        <v>7447.05</v>
      </c>
      <c r="I21" s="67">
        <v>8</v>
      </c>
      <c r="J21" s="29" t="s">
        <v>34</v>
      </c>
      <c r="K21" s="28">
        <v>1</v>
      </c>
      <c r="L21" s="28">
        <v>0</v>
      </c>
      <c r="M21" s="30">
        <v>9295.7800000000007</v>
      </c>
      <c r="N21" s="68">
        <v>9295.7800000000007</v>
      </c>
      <c r="P21" s="67">
        <v>8</v>
      </c>
      <c r="Q21" s="29" t="s">
        <v>38</v>
      </c>
      <c r="R21" s="28">
        <v>1</v>
      </c>
      <c r="S21" s="28">
        <v>0</v>
      </c>
      <c r="T21" s="30">
        <v>7447.05</v>
      </c>
      <c r="U21" s="68">
        <v>7447.05</v>
      </c>
      <c r="W21" s="67">
        <v>8</v>
      </c>
      <c r="X21" s="29" t="s">
        <v>36</v>
      </c>
      <c r="Y21" s="28">
        <v>1</v>
      </c>
      <c r="Z21" s="28">
        <v>0</v>
      </c>
      <c r="AA21" s="30">
        <v>7179.32</v>
      </c>
      <c r="AB21" s="68">
        <v>7179.32</v>
      </c>
      <c r="AD21" s="20"/>
      <c r="AE21" s="21"/>
      <c r="AF21" s="4"/>
      <c r="AG21" s="4"/>
      <c r="AH21" s="22"/>
      <c r="AI21" s="22"/>
    </row>
    <row r="22" spans="2:35" ht="18" customHeight="1" x14ac:dyDescent="0.25">
      <c r="B22" s="67">
        <v>9</v>
      </c>
      <c r="C22" s="29" t="s">
        <v>40</v>
      </c>
      <c r="D22" s="28">
        <v>2</v>
      </c>
      <c r="E22" s="28">
        <v>0</v>
      </c>
      <c r="F22" s="30">
        <v>8726.82</v>
      </c>
      <c r="G22" s="68">
        <v>17453.64</v>
      </c>
      <c r="I22" s="67">
        <v>9</v>
      </c>
      <c r="J22" s="29" t="s">
        <v>36</v>
      </c>
      <c r="K22" s="28">
        <v>1</v>
      </c>
      <c r="L22" s="28">
        <v>0</v>
      </c>
      <c r="M22" s="30">
        <v>7179.32</v>
      </c>
      <c r="N22" s="68">
        <v>7179.32</v>
      </c>
      <c r="P22" s="67">
        <v>9</v>
      </c>
      <c r="Q22" s="29" t="s">
        <v>78</v>
      </c>
      <c r="R22" s="28">
        <v>2</v>
      </c>
      <c r="S22" s="28">
        <v>0</v>
      </c>
      <c r="T22" s="30">
        <v>8726.82</v>
      </c>
      <c r="U22" s="68">
        <v>17453.64</v>
      </c>
      <c r="W22" s="67">
        <v>9</v>
      </c>
      <c r="X22" s="29" t="s">
        <v>79</v>
      </c>
      <c r="Y22" s="28">
        <v>1</v>
      </c>
      <c r="Z22" s="28">
        <v>0</v>
      </c>
      <c r="AA22" s="30">
        <v>12215.05</v>
      </c>
      <c r="AB22" s="68">
        <v>12215.05</v>
      </c>
    </row>
    <row r="23" spans="2:35" ht="18" customHeight="1" x14ac:dyDescent="0.25">
      <c r="B23" s="67">
        <v>10</v>
      </c>
      <c r="C23" s="29" t="s">
        <v>42</v>
      </c>
      <c r="D23" s="28">
        <v>1</v>
      </c>
      <c r="E23" s="28">
        <v>0</v>
      </c>
      <c r="F23" s="30">
        <v>9085.2000000000007</v>
      </c>
      <c r="G23" s="68">
        <v>9085.2000000000007</v>
      </c>
      <c r="I23" s="67">
        <v>10</v>
      </c>
      <c r="J23" s="29" t="s">
        <v>40</v>
      </c>
      <c r="K23" s="28">
        <v>2</v>
      </c>
      <c r="L23" s="28">
        <v>0</v>
      </c>
      <c r="M23" s="30">
        <v>8726.82</v>
      </c>
      <c r="N23" s="68">
        <v>17453.64</v>
      </c>
      <c r="P23" s="67">
        <v>10</v>
      </c>
      <c r="Q23" s="29" t="s">
        <v>45</v>
      </c>
      <c r="R23" s="28">
        <v>2</v>
      </c>
      <c r="S23" s="28">
        <v>0</v>
      </c>
      <c r="T23" s="30">
        <v>15054.42</v>
      </c>
      <c r="U23" s="68">
        <v>30108.84</v>
      </c>
      <c r="W23" s="67">
        <v>10</v>
      </c>
      <c r="X23" s="29" t="s">
        <v>40</v>
      </c>
      <c r="Y23" s="28">
        <v>4</v>
      </c>
      <c r="Z23" s="28">
        <v>0</v>
      </c>
      <c r="AA23" s="30">
        <v>8726.82</v>
      </c>
      <c r="AB23" s="68">
        <v>34907.279999999999</v>
      </c>
    </row>
    <row r="24" spans="2:35" ht="18" customHeight="1" x14ac:dyDescent="0.25">
      <c r="B24" s="67">
        <v>11</v>
      </c>
      <c r="C24" s="29" t="s">
        <v>44</v>
      </c>
      <c r="D24" s="28">
        <v>0</v>
      </c>
      <c r="E24" s="28">
        <v>12</v>
      </c>
      <c r="F24" s="30">
        <v>25308.14</v>
      </c>
      <c r="G24" s="68">
        <v>6327.04</v>
      </c>
      <c r="I24" s="67">
        <v>11</v>
      </c>
      <c r="J24" s="29" t="s">
        <v>42</v>
      </c>
      <c r="K24" s="28">
        <v>1</v>
      </c>
      <c r="L24" s="28">
        <v>0</v>
      </c>
      <c r="M24" s="30">
        <v>9085.2000000000007</v>
      </c>
      <c r="N24" s="68">
        <v>9085.2000000000007</v>
      </c>
      <c r="P24" s="67">
        <v>11</v>
      </c>
      <c r="Q24" s="29" t="s">
        <v>46</v>
      </c>
      <c r="R24" s="28">
        <v>0</v>
      </c>
      <c r="S24" s="28">
        <v>7</v>
      </c>
      <c r="T24" s="30">
        <v>14508.28</v>
      </c>
      <c r="U24" s="68">
        <v>8463.16</v>
      </c>
      <c r="W24" s="67">
        <v>11</v>
      </c>
      <c r="X24" s="29" t="s">
        <v>42</v>
      </c>
      <c r="Y24" s="28">
        <v>1</v>
      </c>
      <c r="Z24" s="28">
        <v>0</v>
      </c>
      <c r="AA24" s="30">
        <v>9085.2000000000007</v>
      </c>
      <c r="AB24" s="68">
        <v>9085.2000000000007</v>
      </c>
    </row>
    <row r="25" spans="2:35" ht="18" customHeight="1" x14ac:dyDescent="0.25">
      <c r="B25" s="67">
        <v>12</v>
      </c>
      <c r="C25" s="29" t="s">
        <v>45</v>
      </c>
      <c r="D25" s="28">
        <v>2</v>
      </c>
      <c r="E25" s="28">
        <v>0</v>
      </c>
      <c r="F25" s="30">
        <v>15054.42</v>
      </c>
      <c r="G25" s="68">
        <v>30108.84</v>
      </c>
      <c r="I25" s="67">
        <v>12</v>
      </c>
      <c r="J25" s="29" t="s">
        <v>43</v>
      </c>
      <c r="K25" s="28">
        <v>0</v>
      </c>
      <c r="L25" s="28">
        <v>3</v>
      </c>
      <c r="M25" s="30">
        <v>25882.17</v>
      </c>
      <c r="N25" s="68">
        <v>6470.54</v>
      </c>
      <c r="P25" s="67">
        <v>12</v>
      </c>
      <c r="Q25" s="29" t="s">
        <v>47</v>
      </c>
      <c r="R25" s="28">
        <v>1</v>
      </c>
      <c r="S25" s="28">
        <v>0</v>
      </c>
      <c r="T25" s="30">
        <v>12028.12</v>
      </c>
      <c r="U25" s="68">
        <v>12028.12</v>
      </c>
      <c r="W25" s="67">
        <v>12</v>
      </c>
      <c r="X25" s="29" t="s">
        <v>44</v>
      </c>
      <c r="Y25" s="28">
        <v>0</v>
      </c>
      <c r="Z25" s="28">
        <v>24</v>
      </c>
      <c r="AA25" s="30">
        <v>25308.14</v>
      </c>
      <c r="AB25" s="68">
        <v>12654.07</v>
      </c>
    </row>
    <row r="26" spans="2:35" ht="18" customHeight="1" x14ac:dyDescent="0.25">
      <c r="B26" s="67">
        <v>13</v>
      </c>
      <c r="C26" s="29" t="s">
        <v>46</v>
      </c>
      <c r="D26" s="28">
        <v>0</v>
      </c>
      <c r="E26" s="28">
        <v>6</v>
      </c>
      <c r="F26" s="30">
        <v>14508.28</v>
      </c>
      <c r="G26" s="68">
        <v>7254.14</v>
      </c>
      <c r="I26" s="67">
        <v>13</v>
      </c>
      <c r="J26" s="29" t="s">
        <v>46</v>
      </c>
      <c r="K26" s="28">
        <v>0</v>
      </c>
      <c r="L26" s="28">
        <v>6</v>
      </c>
      <c r="M26" s="30">
        <v>14508.28</v>
      </c>
      <c r="N26" s="68">
        <v>7254.14</v>
      </c>
      <c r="P26" s="67">
        <v>13</v>
      </c>
      <c r="Q26" s="29" t="s">
        <v>39</v>
      </c>
      <c r="R26" s="28">
        <v>1</v>
      </c>
      <c r="S26" s="28">
        <v>0</v>
      </c>
      <c r="T26" s="30">
        <v>7629.11</v>
      </c>
      <c r="U26" s="68">
        <v>7629.11</v>
      </c>
      <c r="W26" s="67">
        <v>13</v>
      </c>
      <c r="X26" s="29" t="s">
        <v>45</v>
      </c>
      <c r="Y26" s="28">
        <v>1</v>
      </c>
      <c r="Z26" s="28">
        <v>0</v>
      </c>
      <c r="AA26" s="30">
        <v>15054.42</v>
      </c>
      <c r="AB26" s="68">
        <v>15054.42</v>
      </c>
    </row>
    <row r="27" spans="2:35" ht="18" customHeight="1" x14ac:dyDescent="0.25">
      <c r="B27" s="67">
        <v>14</v>
      </c>
      <c r="C27" s="29" t="s">
        <v>47</v>
      </c>
      <c r="D27" s="28">
        <v>1</v>
      </c>
      <c r="E27" s="28">
        <v>0</v>
      </c>
      <c r="F27" s="30">
        <v>12028.12</v>
      </c>
      <c r="G27" s="68">
        <v>12028.12</v>
      </c>
      <c r="I27" s="67">
        <v>14</v>
      </c>
      <c r="J27" s="29" t="s">
        <v>47</v>
      </c>
      <c r="K27" s="28">
        <v>1</v>
      </c>
      <c r="L27" s="28">
        <v>0</v>
      </c>
      <c r="M27" s="30">
        <v>12028.12</v>
      </c>
      <c r="N27" s="68">
        <v>12028.12</v>
      </c>
      <c r="P27" s="67">
        <v>14</v>
      </c>
      <c r="Q27" s="29" t="s">
        <v>50</v>
      </c>
      <c r="R27" s="28">
        <v>0</v>
      </c>
      <c r="S27" s="28">
        <v>24</v>
      </c>
      <c r="T27" s="30">
        <v>11500.22</v>
      </c>
      <c r="U27" s="68">
        <v>5750.11</v>
      </c>
      <c r="W27" s="67">
        <v>14</v>
      </c>
      <c r="X27" s="29" t="s">
        <v>47</v>
      </c>
      <c r="Y27" s="28">
        <v>1</v>
      </c>
      <c r="Z27" s="28">
        <v>0</v>
      </c>
      <c r="AA27" s="30">
        <v>12028.12</v>
      </c>
      <c r="AB27" s="68">
        <v>12028.12</v>
      </c>
    </row>
    <row r="28" spans="2:35" ht="18" customHeight="1" x14ac:dyDescent="0.25">
      <c r="B28" s="67">
        <v>15</v>
      </c>
      <c r="C28" s="29" t="s">
        <v>48</v>
      </c>
      <c r="D28" s="28">
        <v>0</v>
      </c>
      <c r="E28" s="28">
        <v>6</v>
      </c>
      <c r="F28" s="30">
        <v>12453.96</v>
      </c>
      <c r="G28" s="68">
        <v>6226.98</v>
      </c>
      <c r="I28" s="67">
        <v>15</v>
      </c>
      <c r="J28" s="29" t="s">
        <v>48</v>
      </c>
      <c r="K28" s="28">
        <v>0</v>
      </c>
      <c r="L28" s="28">
        <v>6</v>
      </c>
      <c r="M28" s="30">
        <v>12453.96</v>
      </c>
      <c r="N28" s="68">
        <v>6226.98</v>
      </c>
      <c r="P28" s="67">
        <v>15</v>
      </c>
      <c r="Q28" s="29" t="s">
        <v>55</v>
      </c>
      <c r="R28" s="28">
        <v>4</v>
      </c>
      <c r="S28" s="28">
        <v>0</v>
      </c>
      <c r="T28" s="30">
        <v>2232.11</v>
      </c>
      <c r="U28" s="68">
        <v>8928.44</v>
      </c>
      <c r="W28" s="67">
        <v>15</v>
      </c>
      <c r="X28" s="29" t="s">
        <v>37</v>
      </c>
      <c r="Y28" s="28">
        <v>1</v>
      </c>
      <c r="Z28" s="28">
        <v>0</v>
      </c>
      <c r="AA28" s="30">
        <v>8774.0499999999993</v>
      </c>
      <c r="AB28" s="68">
        <v>8774.0499999999993</v>
      </c>
    </row>
    <row r="29" spans="2:35" ht="18" customHeight="1" x14ac:dyDescent="0.25">
      <c r="B29" s="67">
        <v>16</v>
      </c>
      <c r="C29" s="29" t="s">
        <v>80</v>
      </c>
      <c r="D29" s="28">
        <v>0</v>
      </c>
      <c r="E29" s="28">
        <v>3</v>
      </c>
      <c r="F29" s="30">
        <v>14467.88</v>
      </c>
      <c r="G29" s="68">
        <v>3616.97</v>
      </c>
      <c r="I29" s="67">
        <v>16</v>
      </c>
      <c r="J29" s="29" t="s">
        <v>37</v>
      </c>
      <c r="K29" s="28">
        <v>1</v>
      </c>
      <c r="L29" s="28">
        <v>0</v>
      </c>
      <c r="M29" s="30">
        <v>8774.0499999999993</v>
      </c>
      <c r="N29" s="68">
        <v>8774.0499999999993</v>
      </c>
      <c r="P29" s="67">
        <v>16</v>
      </c>
      <c r="Q29" s="29" t="s">
        <v>81</v>
      </c>
      <c r="R29" s="28">
        <v>2</v>
      </c>
      <c r="S29" s="28">
        <v>0</v>
      </c>
      <c r="T29" s="30">
        <v>2725.8</v>
      </c>
      <c r="U29" s="68">
        <v>5451.6</v>
      </c>
      <c r="W29" s="67">
        <v>16</v>
      </c>
      <c r="X29" s="29" t="s">
        <v>49</v>
      </c>
      <c r="Y29" s="28">
        <v>1</v>
      </c>
      <c r="Z29" s="28">
        <v>0</v>
      </c>
      <c r="AA29" s="30">
        <v>9085.2000000000007</v>
      </c>
      <c r="AB29" s="68">
        <v>9085.2000000000007</v>
      </c>
    </row>
    <row r="30" spans="2:35" ht="18" customHeight="1" x14ac:dyDescent="0.25">
      <c r="B30" s="67">
        <v>17</v>
      </c>
      <c r="C30" s="29" t="s">
        <v>39</v>
      </c>
      <c r="D30" s="28">
        <v>1</v>
      </c>
      <c r="E30" s="28">
        <v>0</v>
      </c>
      <c r="F30" s="30">
        <v>7629.11</v>
      </c>
      <c r="G30" s="68">
        <v>7629.11</v>
      </c>
      <c r="I30" s="67">
        <v>17</v>
      </c>
      <c r="J30" s="29" t="s">
        <v>82</v>
      </c>
      <c r="K30" s="28">
        <v>1</v>
      </c>
      <c r="L30" s="28">
        <v>0</v>
      </c>
      <c r="M30" s="30">
        <v>7155.96</v>
      </c>
      <c r="N30" s="68">
        <v>7155.96</v>
      </c>
      <c r="P30" s="67">
        <v>17</v>
      </c>
      <c r="Q30" s="29" t="s">
        <v>83</v>
      </c>
      <c r="R30" s="28">
        <v>6</v>
      </c>
      <c r="S30" s="28">
        <v>0</v>
      </c>
      <c r="T30" s="30">
        <v>1867.49</v>
      </c>
      <c r="U30" s="68">
        <v>11204.94</v>
      </c>
      <c r="W30" s="67">
        <v>17</v>
      </c>
      <c r="X30" s="29" t="s">
        <v>84</v>
      </c>
      <c r="Y30" s="28">
        <v>0</v>
      </c>
      <c r="Z30" s="28">
        <v>6</v>
      </c>
      <c r="AA30" s="30">
        <v>12635.87</v>
      </c>
      <c r="AB30" s="68">
        <v>6317.94</v>
      </c>
    </row>
    <row r="31" spans="2:35" ht="18" customHeight="1" x14ac:dyDescent="0.25">
      <c r="B31" s="67">
        <v>18</v>
      </c>
      <c r="C31" s="29" t="s">
        <v>51</v>
      </c>
      <c r="D31" s="28">
        <v>0</v>
      </c>
      <c r="E31" s="28">
        <v>3</v>
      </c>
      <c r="F31" s="30">
        <v>11873.32</v>
      </c>
      <c r="G31" s="68">
        <v>2968.33</v>
      </c>
      <c r="I31" s="67">
        <v>18</v>
      </c>
      <c r="J31" s="29" t="s">
        <v>39</v>
      </c>
      <c r="K31" s="28">
        <v>1</v>
      </c>
      <c r="L31" s="28">
        <v>0</v>
      </c>
      <c r="M31" s="30">
        <v>7629.11</v>
      </c>
      <c r="N31" s="68">
        <v>7629.11</v>
      </c>
      <c r="P31" s="67">
        <v>18</v>
      </c>
      <c r="Q31" s="29" t="s">
        <v>56</v>
      </c>
      <c r="R31" s="28">
        <v>1</v>
      </c>
      <c r="S31" s="28">
        <v>0</v>
      </c>
      <c r="T31" s="30">
        <v>1233.92</v>
      </c>
      <c r="U31" s="68">
        <v>1233.92</v>
      </c>
      <c r="W31" s="67">
        <v>18</v>
      </c>
      <c r="X31" s="29" t="s">
        <v>39</v>
      </c>
      <c r="Y31" s="28">
        <v>1</v>
      </c>
      <c r="Z31" s="28">
        <v>0</v>
      </c>
      <c r="AA31" s="30">
        <v>7629.11</v>
      </c>
      <c r="AB31" s="68">
        <v>7629.11</v>
      </c>
    </row>
    <row r="32" spans="2:35" ht="18" customHeight="1" x14ac:dyDescent="0.25">
      <c r="B32" s="67">
        <v>19</v>
      </c>
      <c r="C32" s="29" t="s">
        <v>85</v>
      </c>
      <c r="D32" s="28">
        <v>0</v>
      </c>
      <c r="E32" s="28">
        <v>3</v>
      </c>
      <c r="F32" s="30">
        <v>14276.28</v>
      </c>
      <c r="G32" s="68">
        <v>3569.07</v>
      </c>
      <c r="I32" s="67">
        <v>19</v>
      </c>
      <c r="J32" s="29" t="s">
        <v>51</v>
      </c>
      <c r="K32" s="28">
        <v>0</v>
      </c>
      <c r="L32" s="28">
        <v>3</v>
      </c>
      <c r="M32" s="30">
        <v>11873.32</v>
      </c>
      <c r="N32" s="68">
        <v>2968.33</v>
      </c>
      <c r="P32" s="67">
        <v>19</v>
      </c>
      <c r="Q32" s="29" t="s">
        <v>59</v>
      </c>
      <c r="R32" s="28">
        <v>4</v>
      </c>
      <c r="S32" s="28">
        <v>0</v>
      </c>
      <c r="T32" s="30">
        <v>1187.75</v>
      </c>
      <c r="U32" s="68">
        <v>4751</v>
      </c>
      <c r="W32" s="67">
        <v>19</v>
      </c>
      <c r="X32" s="29" t="s">
        <v>86</v>
      </c>
      <c r="Y32" s="28">
        <v>1</v>
      </c>
      <c r="Z32" s="28">
        <v>0</v>
      </c>
      <c r="AA32" s="30">
        <v>8307.33</v>
      </c>
      <c r="AB32" s="68">
        <v>8307.33</v>
      </c>
    </row>
    <row r="33" spans="2:28" ht="18" customHeight="1" x14ac:dyDescent="0.25">
      <c r="B33" s="67">
        <v>20</v>
      </c>
      <c r="C33" s="29" t="s">
        <v>52</v>
      </c>
      <c r="D33" s="28">
        <v>2</v>
      </c>
      <c r="E33" s="28">
        <v>0</v>
      </c>
      <c r="F33" s="30">
        <v>2727.19</v>
      </c>
      <c r="G33" s="68">
        <v>5454.38</v>
      </c>
      <c r="I33" s="67">
        <v>20</v>
      </c>
      <c r="J33" s="29" t="s">
        <v>86</v>
      </c>
      <c r="K33" s="28">
        <v>1</v>
      </c>
      <c r="L33" s="28">
        <v>0</v>
      </c>
      <c r="M33" s="30">
        <v>8307.33</v>
      </c>
      <c r="N33" s="68">
        <v>8307.33</v>
      </c>
      <c r="P33" s="67">
        <v>20</v>
      </c>
      <c r="Q33" s="29" t="s">
        <v>54</v>
      </c>
      <c r="R33" s="28">
        <v>1</v>
      </c>
      <c r="S33" s="28">
        <v>0</v>
      </c>
      <c r="T33" s="30">
        <v>2093.9699999999998</v>
      </c>
      <c r="U33" s="68">
        <v>2093.9699999999998</v>
      </c>
      <c r="W33" s="67">
        <v>20</v>
      </c>
      <c r="X33" s="29" t="s">
        <v>87</v>
      </c>
      <c r="Y33" s="28">
        <v>4</v>
      </c>
      <c r="Z33" s="28">
        <v>0</v>
      </c>
      <c r="AA33" s="30">
        <v>2727.27</v>
      </c>
      <c r="AB33" s="68">
        <v>10909.08</v>
      </c>
    </row>
    <row r="34" spans="2:28" ht="18" customHeight="1" x14ac:dyDescent="0.25">
      <c r="B34" s="67">
        <v>21</v>
      </c>
      <c r="C34" s="29" t="s">
        <v>88</v>
      </c>
      <c r="D34" s="28">
        <v>2</v>
      </c>
      <c r="E34" s="28">
        <v>0</v>
      </c>
      <c r="F34" s="30">
        <v>2591.91</v>
      </c>
      <c r="G34" s="68">
        <v>5183.82</v>
      </c>
      <c r="I34" s="67">
        <v>21</v>
      </c>
      <c r="J34" s="29" t="s">
        <v>89</v>
      </c>
      <c r="K34" s="28">
        <v>0</v>
      </c>
      <c r="L34" s="28">
        <v>12</v>
      </c>
      <c r="M34" s="30">
        <v>13903.17</v>
      </c>
      <c r="N34" s="68">
        <v>3475.79</v>
      </c>
      <c r="P34" s="67">
        <v>21</v>
      </c>
      <c r="Q34" s="29" t="s">
        <v>58</v>
      </c>
      <c r="R34" s="28">
        <v>5</v>
      </c>
      <c r="S34" s="28">
        <v>0</v>
      </c>
      <c r="T34" s="30">
        <v>1953.04</v>
      </c>
      <c r="U34" s="68">
        <v>9765.2000000000007</v>
      </c>
      <c r="W34" s="67">
        <v>21</v>
      </c>
      <c r="X34" s="29" t="s">
        <v>88</v>
      </c>
      <c r="Y34" s="28">
        <v>2</v>
      </c>
      <c r="Z34" s="28">
        <v>0</v>
      </c>
      <c r="AA34" s="30">
        <v>2591.91</v>
      </c>
      <c r="AB34" s="68">
        <v>5183.82</v>
      </c>
    </row>
    <row r="35" spans="2:28" ht="18" customHeight="1" x14ac:dyDescent="0.25">
      <c r="B35" s="67">
        <v>22</v>
      </c>
      <c r="C35" s="29" t="s">
        <v>56</v>
      </c>
      <c r="D35" s="28">
        <v>1</v>
      </c>
      <c r="E35" s="28">
        <v>0</v>
      </c>
      <c r="F35" s="30">
        <v>1233.92</v>
      </c>
      <c r="G35" s="68">
        <v>1233.92</v>
      </c>
      <c r="I35" s="67">
        <v>22</v>
      </c>
      <c r="J35" s="29" t="s">
        <v>52</v>
      </c>
      <c r="K35" s="28">
        <v>4</v>
      </c>
      <c r="L35" s="28">
        <v>0</v>
      </c>
      <c r="M35" s="30">
        <v>2727.19</v>
      </c>
      <c r="N35" s="68">
        <v>10908.76</v>
      </c>
      <c r="P35" s="67">
        <v>22</v>
      </c>
      <c r="Q35" s="29" t="s">
        <v>90</v>
      </c>
      <c r="R35" s="28">
        <v>1</v>
      </c>
      <c r="S35" s="28">
        <v>0</v>
      </c>
      <c r="T35" s="30">
        <v>1636.01</v>
      </c>
      <c r="U35" s="68">
        <v>1636.01</v>
      </c>
      <c r="W35" s="67">
        <v>22</v>
      </c>
      <c r="X35" s="29" t="s">
        <v>81</v>
      </c>
      <c r="Y35" s="28">
        <v>2</v>
      </c>
      <c r="Z35" s="28">
        <v>0</v>
      </c>
      <c r="AA35" s="30">
        <v>2725.8</v>
      </c>
      <c r="AB35" s="68">
        <v>5451.6</v>
      </c>
    </row>
    <row r="36" spans="2:28" ht="18" customHeight="1" x14ac:dyDescent="0.25">
      <c r="B36" s="67">
        <v>23</v>
      </c>
      <c r="C36" s="29" t="s">
        <v>59</v>
      </c>
      <c r="D36" s="28">
        <v>5</v>
      </c>
      <c r="E36" s="28">
        <v>0</v>
      </c>
      <c r="F36" s="30">
        <v>1187.75</v>
      </c>
      <c r="G36" s="68">
        <v>5938.75</v>
      </c>
      <c r="I36" s="67">
        <v>23</v>
      </c>
      <c r="J36" s="29" t="s">
        <v>87</v>
      </c>
      <c r="K36" s="28">
        <v>3</v>
      </c>
      <c r="L36" s="28">
        <v>0</v>
      </c>
      <c r="M36" s="30">
        <v>2727.27</v>
      </c>
      <c r="N36" s="68">
        <v>8181.81</v>
      </c>
      <c r="P36" s="67">
        <v>23</v>
      </c>
      <c r="Q36" s="29" t="s">
        <v>91</v>
      </c>
      <c r="R36" s="28">
        <v>1</v>
      </c>
      <c r="S36" s="28">
        <v>0</v>
      </c>
      <c r="T36" s="30">
        <v>1472.7</v>
      </c>
      <c r="U36" s="68">
        <v>1472.7</v>
      </c>
      <c r="W36" s="67">
        <v>23</v>
      </c>
      <c r="X36" s="29" t="s">
        <v>83</v>
      </c>
      <c r="Y36" s="28">
        <v>10</v>
      </c>
      <c r="Z36" s="28">
        <v>0</v>
      </c>
      <c r="AA36" s="30">
        <v>1867.49</v>
      </c>
      <c r="AB36" s="68">
        <v>18674.900000000001</v>
      </c>
    </row>
    <row r="37" spans="2:28" ht="18" customHeight="1" x14ac:dyDescent="0.25">
      <c r="B37" s="67">
        <v>24</v>
      </c>
      <c r="C37" s="29" t="s">
        <v>54</v>
      </c>
      <c r="D37" s="28">
        <v>1</v>
      </c>
      <c r="E37" s="28">
        <v>0</v>
      </c>
      <c r="F37" s="30">
        <v>2093.9699999999998</v>
      </c>
      <c r="G37" s="68">
        <v>2093.9699999999998</v>
      </c>
      <c r="I37" s="67">
        <v>24</v>
      </c>
      <c r="J37" s="29" t="s">
        <v>81</v>
      </c>
      <c r="K37" s="28">
        <v>2</v>
      </c>
      <c r="L37" s="28">
        <v>0</v>
      </c>
      <c r="M37" s="30">
        <v>2725.8</v>
      </c>
      <c r="N37" s="68">
        <v>5451.6</v>
      </c>
      <c r="P37" s="67">
        <v>24</v>
      </c>
      <c r="Q37" s="29" t="s">
        <v>61</v>
      </c>
      <c r="R37" s="28">
        <v>1</v>
      </c>
      <c r="S37" s="28">
        <v>0</v>
      </c>
      <c r="T37" s="30">
        <v>2017.56</v>
      </c>
      <c r="U37" s="68">
        <v>2017.56</v>
      </c>
      <c r="W37" s="67">
        <v>24</v>
      </c>
      <c r="X37" s="29" t="s">
        <v>92</v>
      </c>
      <c r="Y37" s="28">
        <v>1</v>
      </c>
      <c r="Z37" s="28">
        <v>0</v>
      </c>
      <c r="AA37" s="30">
        <v>2756.72</v>
      </c>
      <c r="AB37" s="68">
        <v>2756.72</v>
      </c>
    </row>
    <row r="38" spans="2:28" ht="18" customHeight="1" x14ac:dyDescent="0.25">
      <c r="B38" s="67">
        <v>25</v>
      </c>
      <c r="C38" s="29" t="s">
        <v>58</v>
      </c>
      <c r="D38" s="28">
        <v>5</v>
      </c>
      <c r="E38" s="28">
        <v>0</v>
      </c>
      <c r="F38" s="30">
        <v>1953.04</v>
      </c>
      <c r="G38" s="68">
        <v>9765.2000000000007</v>
      </c>
      <c r="I38" s="67">
        <v>25</v>
      </c>
      <c r="J38" s="29" t="s">
        <v>83</v>
      </c>
      <c r="K38" s="28">
        <v>10</v>
      </c>
      <c r="L38" s="28">
        <v>0</v>
      </c>
      <c r="M38" s="30">
        <v>1867.49</v>
      </c>
      <c r="N38" s="68">
        <v>18674.900000000001</v>
      </c>
      <c r="P38" s="67">
        <v>25</v>
      </c>
      <c r="Q38" s="29" t="s">
        <v>93</v>
      </c>
      <c r="R38" s="28">
        <v>6</v>
      </c>
      <c r="S38" s="28">
        <v>0</v>
      </c>
      <c r="T38" s="30">
        <v>1455.84</v>
      </c>
      <c r="U38" s="68">
        <v>8735.0400000000009</v>
      </c>
      <c r="W38" s="67">
        <v>25</v>
      </c>
      <c r="X38" s="29" t="s">
        <v>53</v>
      </c>
      <c r="Y38" s="28">
        <v>1</v>
      </c>
      <c r="Z38" s="28">
        <v>0</v>
      </c>
      <c r="AA38" s="30">
        <v>2118.9899999999998</v>
      </c>
      <c r="AB38" s="68">
        <v>2118.9899999999998</v>
      </c>
    </row>
    <row r="39" spans="2:28" ht="18" customHeight="1" x14ac:dyDescent="0.25">
      <c r="B39" s="67">
        <v>26</v>
      </c>
      <c r="C39" s="29" t="s">
        <v>57</v>
      </c>
      <c r="D39" s="28">
        <v>3</v>
      </c>
      <c r="E39" s="28">
        <v>0</v>
      </c>
      <c r="F39" s="30">
        <v>1636.34</v>
      </c>
      <c r="G39" s="68">
        <v>4909.0200000000004</v>
      </c>
      <c r="I39" s="67">
        <v>26</v>
      </c>
      <c r="J39" s="29" t="s">
        <v>56</v>
      </c>
      <c r="K39" s="28">
        <v>1</v>
      </c>
      <c r="L39" s="28">
        <v>0</v>
      </c>
      <c r="M39" s="30">
        <v>1233.92</v>
      </c>
      <c r="N39" s="68">
        <v>1233.92</v>
      </c>
      <c r="P39" s="67">
        <v>26</v>
      </c>
      <c r="Q39" s="29" t="s">
        <v>94</v>
      </c>
      <c r="R39" s="28">
        <v>1</v>
      </c>
      <c r="S39" s="28">
        <v>0</v>
      </c>
      <c r="T39" s="30">
        <v>2181.8200000000002</v>
      </c>
      <c r="U39" s="68">
        <v>2181.8200000000002</v>
      </c>
      <c r="W39" s="67">
        <v>26</v>
      </c>
      <c r="X39" s="29" t="s">
        <v>56</v>
      </c>
      <c r="Y39" s="28">
        <v>1</v>
      </c>
      <c r="Z39" s="28">
        <v>0</v>
      </c>
      <c r="AA39" s="30">
        <v>1233.92</v>
      </c>
      <c r="AB39" s="68">
        <v>1233.92</v>
      </c>
    </row>
    <row r="40" spans="2:28" ht="18" customHeight="1" thickBot="1" x14ac:dyDescent="0.3">
      <c r="B40" s="67">
        <v>27</v>
      </c>
      <c r="C40" s="29" t="s">
        <v>95</v>
      </c>
      <c r="D40" s="28">
        <v>3</v>
      </c>
      <c r="E40" s="28">
        <v>0</v>
      </c>
      <c r="F40" s="30">
        <v>2672.71</v>
      </c>
      <c r="G40" s="68">
        <v>8018.13</v>
      </c>
      <c r="I40" s="67">
        <v>27</v>
      </c>
      <c r="J40" s="29" t="s">
        <v>59</v>
      </c>
      <c r="K40" s="28">
        <v>4</v>
      </c>
      <c r="L40" s="28">
        <v>0</v>
      </c>
      <c r="M40" s="30">
        <v>1187.75</v>
      </c>
      <c r="N40" s="68">
        <v>4751</v>
      </c>
      <c r="P40" s="67">
        <v>27</v>
      </c>
      <c r="Q40" s="29" t="s">
        <v>64</v>
      </c>
      <c r="R40" s="28">
        <v>1</v>
      </c>
      <c r="S40" s="28">
        <v>0</v>
      </c>
      <c r="T40" s="30">
        <v>3439.88</v>
      </c>
      <c r="U40" s="68">
        <v>3439.88</v>
      </c>
      <c r="W40" s="67">
        <v>27</v>
      </c>
      <c r="X40" s="29" t="s">
        <v>59</v>
      </c>
      <c r="Y40" s="28">
        <v>4</v>
      </c>
      <c r="Z40" s="28">
        <v>0</v>
      </c>
      <c r="AA40" s="30">
        <v>1187.75</v>
      </c>
      <c r="AB40" s="68">
        <v>4751</v>
      </c>
    </row>
    <row r="41" spans="2:28" ht="18" customHeight="1" thickBot="1" x14ac:dyDescent="0.3">
      <c r="B41" s="67">
        <v>28</v>
      </c>
      <c r="C41" s="29" t="s">
        <v>60</v>
      </c>
      <c r="D41" s="28">
        <v>10</v>
      </c>
      <c r="E41" s="28">
        <v>0</v>
      </c>
      <c r="F41" s="30">
        <v>1809.6</v>
      </c>
      <c r="G41" s="68">
        <v>18096</v>
      </c>
      <c r="I41" s="67">
        <v>28</v>
      </c>
      <c r="J41" s="29" t="s">
        <v>54</v>
      </c>
      <c r="K41" s="28">
        <v>1</v>
      </c>
      <c r="L41" s="28">
        <v>0</v>
      </c>
      <c r="M41" s="30">
        <v>2093.9699999999998</v>
      </c>
      <c r="N41" s="68">
        <v>2093.9699999999998</v>
      </c>
      <c r="P41" s="41"/>
      <c r="Q41" s="42" t="s">
        <v>41</v>
      </c>
      <c r="R41" s="43">
        <f>SUM(R14:R40)</f>
        <v>50</v>
      </c>
      <c r="S41" s="43">
        <f>SUM(S14:S40)</f>
        <v>31</v>
      </c>
      <c r="T41" s="44">
        <f>SUM(T14:T40)</f>
        <v>160273.71</v>
      </c>
      <c r="U41" s="44">
        <f>SUM(U14:U40)</f>
        <v>226034.10000000006</v>
      </c>
      <c r="W41" s="67">
        <v>28</v>
      </c>
      <c r="X41" s="29" t="s">
        <v>54</v>
      </c>
      <c r="Y41" s="28">
        <v>1</v>
      </c>
      <c r="Z41" s="28">
        <v>0</v>
      </c>
      <c r="AA41" s="30">
        <v>2093.9699999999998</v>
      </c>
      <c r="AB41" s="68">
        <v>2093.9699999999998</v>
      </c>
    </row>
    <row r="42" spans="2:28" ht="18" customHeight="1" x14ac:dyDescent="0.25">
      <c r="B42" s="67">
        <v>29</v>
      </c>
      <c r="C42" s="29" t="s">
        <v>61</v>
      </c>
      <c r="D42" s="28">
        <v>1</v>
      </c>
      <c r="E42" s="28">
        <v>0</v>
      </c>
      <c r="F42" s="30">
        <v>2017.56</v>
      </c>
      <c r="G42" s="68">
        <v>2017.56</v>
      </c>
      <c r="I42" s="67">
        <v>29</v>
      </c>
      <c r="J42" s="29" t="s">
        <v>95</v>
      </c>
      <c r="K42" s="28">
        <v>1</v>
      </c>
      <c r="L42" s="28">
        <v>0</v>
      </c>
      <c r="M42" s="30">
        <v>2672.71</v>
      </c>
      <c r="N42" s="68">
        <v>2672.71</v>
      </c>
      <c r="P42" s="5"/>
      <c r="Q42" s="18"/>
      <c r="R42" s="5"/>
      <c r="S42" s="5"/>
      <c r="T42" s="19"/>
      <c r="U42" s="19"/>
      <c r="W42" s="67">
        <v>29</v>
      </c>
      <c r="X42" s="29" t="s">
        <v>58</v>
      </c>
      <c r="Y42" s="28">
        <v>8</v>
      </c>
      <c r="Z42" s="28">
        <v>0</v>
      </c>
      <c r="AA42" s="30">
        <v>1953.04</v>
      </c>
      <c r="AB42" s="68">
        <v>15624.32</v>
      </c>
    </row>
    <row r="43" spans="2:28" ht="18" customHeight="1" x14ac:dyDescent="0.25">
      <c r="B43" s="67">
        <v>30</v>
      </c>
      <c r="C43" s="29" t="s">
        <v>62</v>
      </c>
      <c r="D43" s="28">
        <v>10</v>
      </c>
      <c r="E43" s="28">
        <v>0</v>
      </c>
      <c r="F43" s="30">
        <v>1455.84</v>
      </c>
      <c r="G43" s="68">
        <v>14558.4</v>
      </c>
      <c r="I43" s="67">
        <v>30</v>
      </c>
      <c r="J43" s="29" t="s">
        <v>61</v>
      </c>
      <c r="K43" s="28">
        <v>1</v>
      </c>
      <c r="L43" s="28">
        <v>0</v>
      </c>
      <c r="M43" s="30">
        <v>2017.56</v>
      </c>
      <c r="N43" s="68">
        <v>2017.56</v>
      </c>
      <c r="P43" s="20"/>
      <c r="Q43" s="21"/>
      <c r="R43" s="4"/>
      <c r="S43" s="4"/>
      <c r="T43" s="22"/>
      <c r="U43" s="22"/>
      <c r="W43" s="67">
        <v>30</v>
      </c>
      <c r="X43" s="29" t="s">
        <v>95</v>
      </c>
      <c r="Y43" s="28">
        <v>1</v>
      </c>
      <c r="Z43" s="28">
        <v>0</v>
      </c>
      <c r="AA43" s="30">
        <v>2672.71</v>
      </c>
      <c r="AB43" s="68">
        <v>2672.71</v>
      </c>
    </row>
    <row r="44" spans="2:28" ht="18" customHeight="1" thickBot="1" x14ac:dyDescent="0.3">
      <c r="B44" s="67">
        <v>31</v>
      </c>
      <c r="C44" s="29" t="s">
        <v>63</v>
      </c>
      <c r="D44" s="28">
        <v>1</v>
      </c>
      <c r="E44" s="28">
        <v>0</v>
      </c>
      <c r="F44" s="30">
        <v>4279.99</v>
      </c>
      <c r="G44" s="68">
        <v>4279.99</v>
      </c>
      <c r="I44" s="69">
        <v>31</v>
      </c>
      <c r="J44" s="46" t="s">
        <v>93</v>
      </c>
      <c r="K44" s="45">
        <v>10</v>
      </c>
      <c r="L44" s="45">
        <v>0</v>
      </c>
      <c r="M44" s="47">
        <v>1455.84</v>
      </c>
      <c r="N44" s="70">
        <v>14558.4</v>
      </c>
      <c r="W44" s="67">
        <v>31</v>
      </c>
      <c r="X44" s="29" t="s">
        <v>61</v>
      </c>
      <c r="Y44" s="28">
        <v>1</v>
      </c>
      <c r="Z44" s="28">
        <v>0</v>
      </c>
      <c r="AA44" s="30">
        <v>2017.56</v>
      </c>
      <c r="AB44" s="68">
        <v>2017.56</v>
      </c>
    </row>
    <row r="45" spans="2:28" ht="18" customHeight="1" thickBot="1" x14ac:dyDescent="0.3">
      <c r="B45" s="69">
        <v>32</v>
      </c>
      <c r="C45" s="46" t="s">
        <v>64</v>
      </c>
      <c r="D45" s="45">
        <v>1</v>
      </c>
      <c r="E45" s="45">
        <v>0</v>
      </c>
      <c r="F45" s="47">
        <v>3439.88</v>
      </c>
      <c r="G45" s="70">
        <v>3439.88</v>
      </c>
      <c r="I45" s="75"/>
      <c r="J45" s="76" t="s">
        <v>41</v>
      </c>
      <c r="K45" s="73">
        <f>SUM(K14:K44)</f>
        <v>52</v>
      </c>
      <c r="L45" s="73">
        <f>SUM(L14:L44)</f>
        <v>57</v>
      </c>
      <c r="M45" s="74">
        <f>SUM(M14:M44)</f>
        <v>257412.20999999993</v>
      </c>
      <c r="N45" s="39">
        <f>SUM(N14:N44)</f>
        <v>231759.47999999992</v>
      </c>
      <c r="W45" s="67">
        <v>32</v>
      </c>
      <c r="X45" s="29" t="s">
        <v>93</v>
      </c>
      <c r="Y45" s="28">
        <v>10</v>
      </c>
      <c r="Z45" s="28">
        <v>0</v>
      </c>
      <c r="AA45" s="30">
        <v>1455.84</v>
      </c>
      <c r="AB45" s="68">
        <v>14558.4</v>
      </c>
    </row>
    <row r="46" spans="2:28" ht="18" customHeight="1" thickBot="1" x14ac:dyDescent="0.3">
      <c r="B46" s="71"/>
      <c r="C46" s="72" t="s">
        <v>41</v>
      </c>
      <c r="D46" s="73">
        <f>SUM(D14:D45)</f>
        <v>63</v>
      </c>
      <c r="E46" s="73">
        <f>SUM(E14:E45)</f>
        <v>81</v>
      </c>
      <c r="F46" s="74">
        <f>SUM(F14:F45)</f>
        <v>233217.03</v>
      </c>
      <c r="G46" s="39">
        <f>SUM(G14:G45)</f>
        <v>291587.08</v>
      </c>
      <c r="W46" s="69">
        <v>33</v>
      </c>
      <c r="X46" s="46" t="s">
        <v>63</v>
      </c>
      <c r="Y46" s="45">
        <v>1</v>
      </c>
      <c r="Z46" s="45">
        <v>0</v>
      </c>
      <c r="AA46" s="47">
        <v>4279.99</v>
      </c>
      <c r="AB46" s="70">
        <v>4279.99</v>
      </c>
    </row>
    <row r="47" spans="2:28" ht="13" thickBot="1" x14ac:dyDescent="0.3">
      <c r="W47" s="77"/>
      <c r="X47" s="78" t="s">
        <v>41</v>
      </c>
      <c r="Y47" s="79">
        <f>SUM(Y14:Y46)</f>
        <v>70</v>
      </c>
      <c r="Z47" s="79">
        <f>SUM(Z14:Z46)</f>
        <v>57</v>
      </c>
      <c r="AA47" s="80">
        <f>SUM(AA14:AA46)</f>
        <v>260195.18999999992</v>
      </c>
      <c r="AB47" s="81">
        <f>SUM(AB14:AB46)</f>
        <v>340148.11999999994</v>
      </c>
    </row>
    <row r="49" spans="2:14" ht="18" customHeight="1" x14ac:dyDescent="0.25">
      <c r="B49" s="4"/>
      <c r="I49" s="4"/>
    </row>
    <row r="50" spans="2:14" ht="18" customHeight="1" x14ac:dyDescent="0.25">
      <c r="B50" s="15"/>
      <c r="I50" s="15"/>
    </row>
    <row r="51" spans="2:14" ht="18" customHeight="1" x14ac:dyDescent="0.25">
      <c r="B51" s="15"/>
      <c r="I51" s="15"/>
    </row>
    <row r="52" spans="2:14" ht="18" customHeight="1" x14ac:dyDescent="0.25">
      <c r="B52" s="15"/>
      <c r="D52" s="15"/>
      <c r="E52" s="16"/>
      <c r="I52" s="15"/>
      <c r="K52" s="15"/>
      <c r="L52" s="16"/>
    </row>
    <row r="53" spans="2:14" ht="18" customHeight="1" x14ac:dyDescent="0.25">
      <c r="B53" s="15"/>
      <c r="I53" s="15"/>
    </row>
    <row r="54" spans="2:14" ht="18" customHeight="1" x14ac:dyDescent="0.25">
      <c r="B54" s="15"/>
      <c r="D54" s="15"/>
      <c r="I54" s="15"/>
      <c r="K54" s="15"/>
    </row>
    <row r="55" spans="2:14" ht="18" customHeight="1" x14ac:dyDescent="0.25">
      <c r="B55" s="15"/>
      <c r="D55" s="15"/>
      <c r="I55" s="15"/>
      <c r="K55" s="15"/>
    </row>
    <row r="56" spans="2:14" ht="18" customHeight="1" x14ac:dyDescent="0.25">
      <c r="B56" s="15"/>
      <c r="D56" s="15"/>
      <c r="I56" s="15"/>
      <c r="K56" s="15"/>
    </row>
    <row r="57" spans="2:14" ht="18" customHeight="1" x14ac:dyDescent="0.25">
      <c r="B57" s="15"/>
      <c r="D57" s="15"/>
      <c r="I57" s="15"/>
      <c r="K57" s="15"/>
    </row>
    <row r="58" spans="2:14" ht="18" customHeight="1" x14ac:dyDescent="0.25">
      <c r="B58" s="15"/>
      <c r="D58" s="15"/>
      <c r="I58" s="15"/>
      <c r="K58" s="15"/>
    </row>
    <row r="59" spans="2:14" ht="18" customHeight="1" x14ac:dyDescent="0.25">
      <c r="B59" s="4"/>
      <c r="C59" s="4"/>
      <c r="D59" s="17"/>
      <c r="E59" s="17"/>
      <c r="F59" s="17"/>
      <c r="G59" s="17"/>
      <c r="I59" s="4"/>
      <c r="J59" s="4"/>
      <c r="K59" s="17"/>
      <c r="L59" s="17"/>
      <c r="M59" s="17"/>
      <c r="N59" s="17"/>
    </row>
    <row r="60" spans="2:14" ht="36" customHeight="1" x14ac:dyDescent="0.25">
      <c r="B60" s="5"/>
      <c r="C60" s="18"/>
      <c r="D60" s="5"/>
      <c r="E60" s="5"/>
      <c r="F60" s="19"/>
      <c r="G60" s="19"/>
      <c r="I60" s="5"/>
      <c r="J60" s="18"/>
      <c r="K60" s="5"/>
      <c r="L60" s="5"/>
      <c r="M60" s="19"/>
      <c r="N60" s="19"/>
    </row>
    <row r="61" spans="2:14" ht="36" customHeight="1" x14ac:dyDescent="0.25">
      <c r="B61" s="5"/>
      <c r="C61" s="18"/>
      <c r="D61" s="5"/>
      <c r="E61" s="5"/>
      <c r="F61" s="19"/>
      <c r="G61" s="19"/>
      <c r="I61" s="5"/>
      <c r="J61" s="18"/>
      <c r="K61" s="5"/>
      <c r="L61" s="5"/>
      <c r="M61" s="19"/>
      <c r="N61" s="19"/>
    </row>
    <row r="62" spans="2:14" ht="18" customHeight="1" x14ac:dyDescent="0.25">
      <c r="B62" s="5"/>
      <c r="C62" s="18"/>
      <c r="D62" s="5"/>
      <c r="E62" s="5"/>
      <c r="F62" s="19"/>
      <c r="G62" s="19"/>
      <c r="I62" s="5"/>
      <c r="J62" s="18"/>
      <c r="K62" s="5"/>
      <c r="L62" s="5"/>
      <c r="M62" s="19"/>
      <c r="N62" s="19"/>
    </row>
    <row r="63" spans="2:14" ht="36" customHeight="1" x14ac:dyDescent="0.25">
      <c r="B63" s="5"/>
      <c r="C63" s="18"/>
      <c r="D63" s="5"/>
      <c r="E63" s="5"/>
      <c r="F63" s="19"/>
      <c r="G63" s="19"/>
      <c r="I63" s="5"/>
      <c r="J63" s="18"/>
      <c r="K63" s="5"/>
      <c r="L63" s="5"/>
      <c r="M63" s="19"/>
      <c r="N63" s="19"/>
    </row>
    <row r="64" spans="2:14" ht="36" customHeight="1" x14ac:dyDescent="0.25">
      <c r="B64" s="5"/>
      <c r="C64" s="18"/>
      <c r="D64" s="5"/>
      <c r="E64" s="5"/>
      <c r="F64" s="19"/>
      <c r="G64" s="19"/>
      <c r="I64" s="5"/>
      <c r="J64" s="18"/>
      <c r="K64" s="5"/>
      <c r="L64" s="5"/>
      <c r="M64" s="19"/>
      <c r="N64" s="19"/>
    </row>
    <row r="65" spans="2:14" ht="18" customHeight="1" x14ac:dyDescent="0.25">
      <c r="B65" s="5"/>
      <c r="C65" s="18"/>
      <c r="D65" s="5"/>
      <c r="E65" s="5"/>
      <c r="F65" s="19"/>
      <c r="G65" s="19"/>
      <c r="I65" s="5"/>
      <c r="J65" s="18"/>
      <c r="K65" s="5"/>
      <c r="L65" s="5"/>
      <c r="M65" s="19"/>
      <c r="N65" s="19"/>
    </row>
    <row r="66" spans="2:14" ht="36" customHeight="1" x14ac:dyDescent="0.25">
      <c r="B66" s="5"/>
      <c r="C66" s="18"/>
      <c r="D66" s="5"/>
      <c r="E66" s="5"/>
      <c r="F66" s="19"/>
      <c r="G66" s="19"/>
      <c r="I66" s="5"/>
      <c r="J66" s="18"/>
      <c r="K66" s="5"/>
      <c r="L66" s="5"/>
      <c r="M66" s="19"/>
      <c r="N66" s="19"/>
    </row>
    <row r="67" spans="2:14" ht="36" customHeight="1" x14ac:dyDescent="0.25">
      <c r="B67" s="5"/>
      <c r="C67" s="18"/>
      <c r="D67" s="5"/>
      <c r="E67" s="5"/>
      <c r="F67" s="19"/>
      <c r="G67" s="19"/>
      <c r="I67" s="5"/>
      <c r="J67" s="18"/>
      <c r="K67" s="5"/>
      <c r="L67" s="5"/>
      <c r="M67" s="19"/>
      <c r="N67" s="19"/>
    </row>
    <row r="68" spans="2:14" ht="36" customHeight="1" x14ac:dyDescent="0.25">
      <c r="B68" s="5"/>
      <c r="C68" s="18"/>
      <c r="D68" s="5"/>
      <c r="E68" s="5"/>
      <c r="F68" s="19"/>
      <c r="G68" s="19"/>
      <c r="I68" s="5"/>
      <c r="J68" s="18"/>
      <c r="K68" s="5"/>
      <c r="L68" s="5"/>
      <c r="M68" s="19"/>
      <c r="N68" s="19"/>
    </row>
    <row r="69" spans="2:14" ht="18" customHeight="1" x14ac:dyDescent="0.25">
      <c r="B69" s="5"/>
      <c r="C69" s="18"/>
      <c r="D69" s="5"/>
      <c r="E69" s="5"/>
      <c r="F69" s="19"/>
      <c r="G69" s="19"/>
      <c r="I69" s="5"/>
      <c r="J69" s="18"/>
      <c r="K69" s="5"/>
      <c r="L69" s="5"/>
      <c r="M69" s="19"/>
      <c r="N69" s="19"/>
    </row>
    <row r="70" spans="2:14" ht="18" customHeight="1" x14ac:dyDescent="0.25">
      <c r="B70" s="5"/>
      <c r="C70" s="18"/>
      <c r="D70" s="5"/>
      <c r="E70" s="5"/>
      <c r="F70" s="19"/>
      <c r="G70" s="19"/>
      <c r="I70" s="5"/>
      <c r="J70" s="18"/>
      <c r="K70" s="5"/>
      <c r="L70" s="5"/>
      <c r="M70" s="19"/>
      <c r="N70" s="19"/>
    </row>
    <row r="71" spans="2:14" ht="18" customHeight="1" x14ac:dyDescent="0.25">
      <c r="B71" s="5"/>
      <c r="C71" s="18"/>
      <c r="D71" s="5"/>
      <c r="E71" s="5"/>
      <c r="F71" s="19"/>
      <c r="G71" s="19"/>
      <c r="I71" s="5"/>
      <c r="J71" s="18"/>
      <c r="K71" s="5"/>
      <c r="L71" s="5"/>
      <c r="M71" s="19"/>
      <c r="N71" s="19"/>
    </row>
    <row r="72" spans="2:14" ht="18" customHeight="1" x14ac:dyDescent="0.25">
      <c r="B72" s="5"/>
      <c r="C72" s="18"/>
      <c r="D72" s="5"/>
      <c r="E72" s="5"/>
      <c r="F72" s="19"/>
      <c r="G72" s="19"/>
      <c r="I72" s="5"/>
      <c r="J72" s="18"/>
      <c r="K72" s="5"/>
      <c r="L72" s="5"/>
      <c r="M72" s="19"/>
      <c r="N72" s="19"/>
    </row>
    <row r="73" spans="2:14" ht="18" customHeight="1" x14ac:dyDescent="0.25">
      <c r="B73" s="5"/>
      <c r="C73" s="18"/>
      <c r="D73" s="5"/>
      <c r="E73" s="5"/>
      <c r="F73" s="19"/>
      <c r="G73" s="19"/>
      <c r="I73" s="5"/>
      <c r="J73" s="18"/>
      <c r="K73" s="5"/>
      <c r="L73" s="5"/>
      <c r="M73" s="19"/>
      <c r="N73" s="19"/>
    </row>
    <row r="74" spans="2:14" ht="36" customHeight="1" x14ac:dyDescent="0.25">
      <c r="B74" s="5"/>
      <c r="C74" s="18"/>
      <c r="D74" s="5"/>
      <c r="E74" s="5"/>
      <c r="F74" s="19"/>
      <c r="G74" s="19"/>
      <c r="I74" s="5"/>
      <c r="J74" s="18"/>
      <c r="K74" s="5"/>
      <c r="L74" s="5"/>
      <c r="M74" s="19"/>
      <c r="N74" s="19"/>
    </row>
    <row r="75" spans="2:14" ht="36" customHeight="1" x14ac:dyDescent="0.25">
      <c r="B75" s="5"/>
      <c r="C75" s="18"/>
      <c r="D75" s="5"/>
      <c r="E75" s="5"/>
      <c r="F75" s="19"/>
      <c r="G75" s="19"/>
      <c r="I75" s="5"/>
      <c r="J75" s="18"/>
      <c r="K75" s="5"/>
      <c r="L75" s="5"/>
      <c r="M75" s="19"/>
      <c r="N75" s="19"/>
    </row>
    <row r="76" spans="2:14" ht="36" customHeight="1" x14ac:dyDescent="0.25">
      <c r="B76" s="5"/>
      <c r="C76" s="18"/>
      <c r="D76" s="5"/>
      <c r="E76" s="5"/>
      <c r="F76" s="19"/>
      <c r="G76" s="19"/>
      <c r="I76" s="20"/>
      <c r="J76" s="21"/>
      <c r="K76" s="4"/>
      <c r="L76" s="4"/>
      <c r="M76" s="22"/>
      <c r="N76" s="22"/>
    </row>
    <row r="77" spans="2:14" ht="18" customHeight="1" x14ac:dyDescent="0.25">
      <c r="B77" s="5"/>
      <c r="C77" s="18"/>
      <c r="D77" s="5"/>
      <c r="E77" s="5"/>
      <c r="F77" s="19"/>
      <c r="G77" s="19"/>
    </row>
    <row r="78" spans="2:14" ht="18" customHeight="1" x14ac:dyDescent="0.25">
      <c r="B78" s="5"/>
      <c r="C78" s="18"/>
      <c r="D78" s="5"/>
      <c r="E78" s="5"/>
      <c r="F78" s="19"/>
      <c r="G78" s="19"/>
    </row>
    <row r="79" spans="2:14" ht="18" customHeight="1" x14ac:dyDescent="0.25">
      <c r="B79" s="5"/>
      <c r="C79" s="18"/>
      <c r="D79" s="5"/>
      <c r="E79" s="5"/>
      <c r="F79" s="19"/>
      <c r="G79" s="19"/>
    </row>
    <row r="80" spans="2:14" ht="18" customHeight="1" x14ac:dyDescent="0.25">
      <c r="B80" s="5"/>
      <c r="C80" s="18"/>
      <c r="D80" s="5"/>
      <c r="E80" s="5"/>
      <c r="F80" s="19"/>
      <c r="G80" s="19"/>
    </row>
    <row r="81" spans="2:7" ht="18" customHeight="1" x14ac:dyDescent="0.25">
      <c r="B81" s="5"/>
      <c r="C81" s="18"/>
      <c r="D81" s="5"/>
      <c r="E81" s="5"/>
      <c r="F81" s="19"/>
      <c r="G81" s="19"/>
    </row>
    <row r="82" spans="2:7" ht="18" customHeight="1" x14ac:dyDescent="0.25">
      <c r="B82" s="5"/>
      <c r="C82" s="18"/>
      <c r="D82" s="5"/>
      <c r="E82" s="5"/>
      <c r="F82" s="19"/>
      <c r="G82" s="19"/>
    </row>
    <row r="83" spans="2:7" ht="18" customHeight="1" x14ac:dyDescent="0.25">
      <c r="B83" s="5"/>
      <c r="C83" s="18"/>
      <c r="D83" s="5"/>
      <c r="E83" s="5"/>
      <c r="F83" s="19"/>
      <c r="G83" s="19"/>
    </row>
    <row r="84" spans="2:7" ht="18" customHeight="1" x14ac:dyDescent="0.25">
      <c r="B84" s="5"/>
      <c r="C84" s="18"/>
      <c r="D84" s="5"/>
      <c r="E84" s="5"/>
      <c r="F84" s="19"/>
      <c r="G84" s="19"/>
    </row>
    <row r="85" spans="2:7" ht="18" customHeight="1" x14ac:dyDescent="0.25">
      <c r="B85" s="5"/>
      <c r="C85" s="18"/>
      <c r="D85" s="5"/>
      <c r="E85" s="5"/>
      <c r="F85" s="19"/>
      <c r="G85" s="19"/>
    </row>
    <row r="86" spans="2:7" ht="18" customHeight="1" x14ac:dyDescent="0.25">
      <c r="B86" s="5"/>
      <c r="C86" s="18"/>
      <c r="D86" s="5"/>
      <c r="E86" s="5"/>
      <c r="F86" s="19"/>
      <c r="G86" s="19"/>
    </row>
    <row r="87" spans="2:7" ht="18" customHeight="1" x14ac:dyDescent="0.25">
      <c r="B87" s="5"/>
      <c r="C87" s="18"/>
      <c r="D87" s="5"/>
      <c r="E87" s="5"/>
      <c r="F87" s="19"/>
      <c r="G87" s="19"/>
    </row>
    <row r="88" spans="2:7" ht="18" customHeight="1" x14ac:dyDescent="0.25">
      <c r="B88" s="20"/>
      <c r="C88" s="21"/>
      <c r="D88" s="4"/>
      <c r="E88" s="4"/>
      <c r="F88" s="22"/>
      <c r="G88" s="22"/>
    </row>
  </sheetData>
  <mergeCells count="80">
    <mergeCell ref="AG6:AI6"/>
    <mergeCell ref="I12:J12"/>
    <mergeCell ref="P5:U5"/>
    <mergeCell ref="B10:C10"/>
    <mergeCell ref="B4:G4"/>
    <mergeCell ref="W9:X9"/>
    <mergeCell ref="P4:U4"/>
    <mergeCell ref="K12:N12"/>
    <mergeCell ref="AD6:AE6"/>
    <mergeCell ref="R11:U11"/>
    <mergeCell ref="AD4:AI4"/>
    <mergeCell ref="AD11:AE11"/>
    <mergeCell ref="Y11:AB11"/>
    <mergeCell ref="AF10:AI10"/>
    <mergeCell ref="AD12:AE12"/>
    <mergeCell ref="AD9:AE9"/>
    <mergeCell ref="P3:U3"/>
    <mergeCell ref="B8:C8"/>
    <mergeCell ref="L6:N6"/>
    <mergeCell ref="W12:X12"/>
    <mergeCell ref="K11:N11"/>
    <mergeCell ref="B9:C9"/>
    <mergeCell ref="B7:G7"/>
    <mergeCell ref="P12:Q12"/>
    <mergeCell ref="W5:AB5"/>
    <mergeCell ref="K8:N8"/>
    <mergeCell ref="D12:G12"/>
    <mergeCell ref="W10:X10"/>
    <mergeCell ref="B3:G3"/>
    <mergeCell ref="B6:C6"/>
    <mergeCell ref="W11:X11"/>
    <mergeCell ref="I11:J11"/>
    <mergeCell ref="AF8:AI8"/>
    <mergeCell ref="AD10:AE10"/>
    <mergeCell ref="D10:G10"/>
    <mergeCell ref="K9:N9"/>
    <mergeCell ref="AD7:AI7"/>
    <mergeCell ref="Y9:AB9"/>
    <mergeCell ref="W7:AB7"/>
    <mergeCell ref="R9:U9"/>
    <mergeCell ref="P8:Q8"/>
    <mergeCell ref="I8:J8"/>
    <mergeCell ref="W8:X8"/>
    <mergeCell ref="I10:J10"/>
    <mergeCell ref="I9:J9"/>
    <mergeCell ref="I7:N7"/>
    <mergeCell ref="D9:G9"/>
    <mergeCell ref="K10:N10"/>
    <mergeCell ref="AD3:AI3"/>
    <mergeCell ref="Z6:AB6"/>
    <mergeCell ref="Y10:AB10"/>
    <mergeCell ref="R12:U12"/>
    <mergeCell ref="AD5:AI5"/>
    <mergeCell ref="AF12:AI12"/>
    <mergeCell ref="AD8:AE8"/>
    <mergeCell ref="W3:AB3"/>
    <mergeCell ref="W6:X6"/>
    <mergeCell ref="P7:U7"/>
    <mergeCell ref="R8:U8"/>
    <mergeCell ref="P11:Q11"/>
    <mergeCell ref="R10:U10"/>
    <mergeCell ref="AF9:AI9"/>
    <mergeCell ref="AF11:AI11"/>
    <mergeCell ref="Y8:AB8"/>
    <mergeCell ref="D8:G8"/>
    <mergeCell ref="Y12:AB12"/>
    <mergeCell ref="I3:N3"/>
    <mergeCell ref="B12:C12"/>
    <mergeCell ref="S6:U6"/>
    <mergeCell ref="I5:N5"/>
    <mergeCell ref="P6:Q6"/>
    <mergeCell ref="I4:N4"/>
    <mergeCell ref="B5:G5"/>
    <mergeCell ref="W4:AB4"/>
    <mergeCell ref="I6:J6"/>
    <mergeCell ref="P10:Q10"/>
    <mergeCell ref="E6:G6"/>
    <mergeCell ref="P9:Q9"/>
    <mergeCell ref="B11:C11"/>
    <mergeCell ref="D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K64"/>
  <sheetViews>
    <sheetView showGridLines="0" zoomScale="68" zoomScaleNormal="100" workbookViewId="0">
      <selection activeCell="AZ34" sqref="AZ34"/>
    </sheetView>
  </sheetViews>
  <sheetFormatPr defaultColWidth="8.6328125" defaultRowHeight="17.149999999999999" customHeight="1" x14ac:dyDescent="0.25"/>
  <cols>
    <col min="1" max="1" width="8.6328125" style="3" customWidth="1"/>
    <col min="2" max="2" width="8.08984375" style="3" bestFit="1" customWidth="1"/>
    <col min="3" max="3" width="104.08984375" style="3" bestFit="1" customWidth="1"/>
    <col min="4" max="4" width="7.90625" style="3" bestFit="1" customWidth="1"/>
    <col min="5" max="5" width="7.453125" style="3" bestFit="1" customWidth="1"/>
    <col min="6" max="6" width="15.54296875" style="3" bestFit="1" customWidth="1"/>
    <col min="7" max="7" width="20.08984375" style="3" bestFit="1" customWidth="1"/>
    <col min="8" max="8" width="4.6328125" style="3" customWidth="1"/>
    <col min="9" max="9" width="8.08984375" style="3" bestFit="1" customWidth="1"/>
    <col min="10" max="10" width="71.6328125" style="3" bestFit="1" customWidth="1"/>
    <col min="11" max="11" width="7.90625" style="3" bestFit="1" customWidth="1"/>
    <col min="12" max="12" width="7.453125" style="3" bestFit="1" customWidth="1"/>
    <col min="13" max="13" width="15.54296875" style="3" bestFit="1" customWidth="1"/>
    <col min="14" max="14" width="20.08984375" style="3" bestFit="1" customWidth="1"/>
    <col min="15" max="15" width="3" style="3" customWidth="1"/>
    <col min="16" max="16" width="8.08984375" style="3" bestFit="1" customWidth="1"/>
    <col min="17" max="17" width="62.26953125" style="3" bestFit="1" customWidth="1"/>
    <col min="18" max="18" width="7.90625" style="3" bestFit="1" customWidth="1"/>
    <col min="19" max="19" width="7.453125" style="3" bestFit="1" customWidth="1"/>
    <col min="20" max="20" width="15.54296875" style="3" bestFit="1" customWidth="1"/>
    <col min="21" max="21" width="20.08984375" style="3" bestFit="1" customWidth="1"/>
    <col min="22" max="22" width="5.08984375" style="3" customWidth="1"/>
    <col min="23" max="23" width="8.08984375" style="3" bestFit="1" customWidth="1"/>
    <col min="24" max="24" width="71.6328125" style="3" bestFit="1" customWidth="1"/>
    <col min="25" max="25" width="7.90625" style="3" bestFit="1" customWidth="1"/>
    <col min="26" max="26" width="7.453125" style="3" bestFit="1" customWidth="1"/>
    <col min="27" max="27" width="15.54296875" style="3" bestFit="1" customWidth="1"/>
    <col min="28" max="28" width="20.08984375" style="3" bestFit="1" customWidth="1"/>
    <col min="29" max="29" width="3" style="3" customWidth="1"/>
    <col min="30" max="30" width="8.08984375" style="3" bestFit="1" customWidth="1"/>
    <col min="31" max="31" width="71.6328125" style="3" bestFit="1" customWidth="1"/>
    <col min="32" max="32" width="7.90625" style="3" bestFit="1" customWidth="1"/>
    <col min="33" max="33" width="7.453125" style="3" bestFit="1" customWidth="1"/>
    <col min="34" max="34" width="15.54296875" style="3" bestFit="1" customWidth="1"/>
    <col min="35" max="35" width="20.08984375" style="3" bestFit="1" customWidth="1"/>
    <col min="36" max="36" width="3.6328125" style="3" customWidth="1"/>
    <col min="37" max="37" width="8.08984375" style="3" bestFit="1" customWidth="1"/>
    <col min="38" max="38" width="61.7265625" style="3" bestFit="1" customWidth="1"/>
    <col min="39" max="39" width="7.90625" style="3" bestFit="1" customWidth="1"/>
    <col min="40" max="40" width="7.453125" style="3" bestFit="1" customWidth="1"/>
    <col min="41" max="41" width="15.54296875" style="3" bestFit="1" customWidth="1"/>
    <col min="42" max="42" width="20.08984375" style="3" bestFit="1" customWidth="1"/>
    <col min="43" max="43" width="3" style="3" customWidth="1"/>
    <col min="44" max="44" width="8.08984375" style="3" bestFit="1" customWidth="1"/>
    <col min="45" max="45" width="62.26953125" style="3" bestFit="1" customWidth="1"/>
    <col min="46" max="46" width="7.90625" style="3" bestFit="1" customWidth="1"/>
    <col min="47" max="47" width="7.453125" style="3" bestFit="1" customWidth="1"/>
    <col min="48" max="48" width="15.54296875" style="3" bestFit="1" customWidth="1"/>
    <col min="49" max="49" width="20.08984375" style="3" bestFit="1" customWidth="1"/>
    <col min="50" max="50" width="4.453125" style="3" customWidth="1"/>
    <col min="51" max="51" width="8.08984375" style="3" bestFit="1" customWidth="1"/>
    <col min="52" max="52" width="71.6328125" style="3" bestFit="1" customWidth="1"/>
    <col min="53" max="53" width="7.90625" style="3" bestFit="1" customWidth="1"/>
    <col min="54" max="54" width="7.453125" style="3" bestFit="1" customWidth="1"/>
    <col min="55" max="55" width="15.54296875" style="3" bestFit="1" customWidth="1"/>
    <col min="56" max="56" width="20.08984375" style="3" bestFit="1" customWidth="1"/>
    <col min="57" max="57" width="3" style="3" customWidth="1"/>
    <col min="58" max="58" width="8.08984375" style="3" bestFit="1" customWidth="1"/>
    <col min="59" max="59" width="46.08984375" style="3" customWidth="1"/>
    <col min="60" max="60" width="7.90625" style="3" bestFit="1" customWidth="1"/>
    <col min="61" max="61" width="7.453125" style="3" bestFit="1" customWidth="1"/>
    <col min="62" max="62" width="15.54296875" style="3" bestFit="1" customWidth="1"/>
    <col min="63" max="63" width="20.08984375" style="3" bestFit="1" customWidth="1"/>
    <col min="64" max="64" width="3" style="3" customWidth="1"/>
    <col min="65" max="65" width="8.6328125" style="3" customWidth="1"/>
    <col min="66" max="16384" width="8.6328125" style="3"/>
  </cols>
  <sheetData>
    <row r="1" spans="2:63" ht="12.5" x14ac:dyDescent="0.25"/>
    <row r="2" spans="2:63" ht="17.149999999999999" customHeight="1" thickBot="1" x14ac:dyDescent="0.3"/>
    <row r="3" spans="2:63" ht="17.149999999999999" customHeight="1" thickBot="1" x14ac:dyDescent="0.4">
      <c r="B3" s="102" t="s">
        <v>8</v>
      </c>
      <c r="C3" s="103"/>
      <c r="D3" s="103"/>
      <c r="E3" s="103"/>
      <c r="F3" s="103"/>
      <c r="G3" s="104"/>
      <c r="H3" s="4"/>
      <c r="I3" s="102" t="s">
        <v>8</v>
      </c>
      <c r="J3" s="103"/>
      <c r="K3" s="103"/>
      <c r="L3" s="103"/>
      <c r="M3" s="103"/>
      <c r="N3" s="104"/>
      <c r="P3" s="102" t="s">
        <v>8</v>
      </c>
      <c r="Q3" s="103"/>
      <c r="R3" s="103"/>
      <c r="S3" s="103"/>
      <c r="T3" s="103"/>
      <c r="U3" s="104"/>
      <c r="V3" s="4"/>
      <c r="W3" s="102" t="s">
        <v>8</v>
      </c>
      <c r="X3" s="103"/>
      <c r="Y3" s="103"/>
      <c r="Z3" s="103"/>
      <c r="AA3" s="103"/>
      <c r="AB3" s="104"/>
      <c r="AD3" s="102" t="s">
        <v>8</v>
      </c>
      <c r="AE3" s="103"/>
      <c r="AF3" s="103"/>
      <c r="AG3" s="103"/>
      <c r="AH3" s="103"/>
      <c r="AI3" s="104"/>
      <c r="AJ3" s="4"/>
      <c r="AK3" s="102" t="s">
        <v>8</v>
      </c>
      <c r="AL3" s="103"/>
      <c r="AM3" s="103"/>
      <c r="AN3" s="103"/>
      <c r="AO3" s="103"/>
      <c r="AP3" s="104"/>
      <c r="AR3" s="102" t="s">
        <v>8</v>
      </c>
      <c r="AS3" s="103"/>
      <c r="AT3" s="103"/>
      <c r="AU3" s="103"/>
      <c r="AV3" s="103"/>
      <c r="AW3" s="104"/>
      <c r="AX3" s="4"/>
      <c r="AY3" s="102" t="s">
        <v>8</v>
      </c>
      <c r="AZ3" s="103"/>
      <c r="BA3" s="103"/>
      <c r="BB3" s="103"/>
      <c r="BC3" s="103"/>
      <c r="BD3" s="104"/>
      <c r="BF3" s="116"/>
      <c r="BG3" s="106"/>
      <c r="BH3" s="106"/>
      <c r="BI3" s="106"/>
      <c r="BJ3" s="106"/>
      <c r="BK3" s="106"/>
    </row>
    <row r="4" spans="2:63" ht="17.149999999999999" customHeight="1" x14ac:dyDescent="0.35">
      <c r="B4" s="111" t="s">
        <v>9</v>
      </c>
      <c r="C4" s="112"/>
      <c r="D4" s="112"/>
      <c r="E4" s="112"/>
      <c r="F4" s="112"/>
      <c r="G4" s="113"/>
      <c r="H4" s="15"/>
      <c r="I4" s="111" t="s">
        <v>9</v>
      </c>
      <c r="J4" s="112"/>
      <c r="K4" s="112"/>
      <c r="L4" s="112"/>
      <c r="M4" s="112"/>
      <c r="N4" s="113"/>
      <c r="P4" s="111" t="s">
        <v>9</v>
      </c>
      <c r="Q4" s="112"/>
      <c r="R4" s="112"/>
      <c r="S4" s="112"/>
      <c r="T4" s="112"/>
      <c r="U4" s="113"/>
      <c r="V4" s="15"/>
      <c r="W4" s="111" t="s">
        <v>9</v>
      </c>
      <c r="X4" s="112"/>
      <c r="Y4" s="112"/>
      <c r="Z4" s="112"/>
      <c r="AA4" s="112"/>
      <c r="AB4" s="113"/>
      <c r="AD4" s="111" t="s">
        <v>9</v>
      </c>
      <c r="AE4" s="112"/>
      <c r="AF4" s="112"/>
      <c r="AG4" s="112"/>
      <c r="AH4" s="112"/>
      <c r="AI4" s="113"/>
      <c r="AJ4" s="15"/>
      <c r="AK4" s="111" t="s">
        <v>9</v>
      </c>
      <c r="AL4" s="112"/>
      <c r="AM4" s="112"/>
      <c r="AN4" s="112"/>
      <c r="AO4" s="112"/>
      <c r="AP4" s="113"/>
      <c r="AR4" s="111" t="s">
        <v>9</v>
      </c>
      <c r="AS4" s="112"/>
      <c r="AT4" s="112"/>
      <c r="AU4" s="112"/>
      <c r="AV4" s="112"/>
      <c r="AW4" s="113"/>
      <c r="AX4" s="15"/>
      <c r="AY4" s="111" t="s">
        <v>9</v>
      </c>
      <c r="AZ4" s="112"/>
      <c r="BA4" s="112"/>
      <c r="BB4" s="112"/>
      <c r="BC4" s="112"/>
      <c r="BD4" s="113"/>
      <c r="BF4" s="105"/>
      <c r="BG4" s="106"/>
      <c r="BH4" s="106"/>
      <c r="BI4" s="106"/>
      <c r="BJ4" s="106"/>
      <c r="BK4" s="106"/>
    </row>
    <row r="5" spans="2:63" ht="17.149999999999999" customHeight="1" x14ac:dyDescent="0.35">
      <c r="B5" s="101" t="s">
        <v>10</v>
      </c>
      <c r="C5" s="96"/>
      <c r="D5" s="96"/>
      <c r="E5" s="96"/>
      <c r="F5" s="96"/>
      <c r="G5" s="97"/>
      <c r="H5" s="15"/>
      <c r="I5" s="101" t="s">
        <v>10</v>
      </c>
      <c r="J5" s="96"/>
      <c r="K5" s="96"/>
      <c r="L5" s="96"/>
      <c r="M5" s="96"/>
      <c r="N5" s="97"/>
      <c r="P5" s="101" t="s">
        <v>10</v>
      </c>
      <c r="Q5" s="96"/>
      <c r="R5" s="96"/>
      <c r="S5" s="96"/>
      <c r="T5" s="96"/>
      <c r="U5" s="97"/>
      <c r="V5" s="15"/>
      <c r="W5" s="101" t="s">
        <v>10</v>
      </c>
      <c r="X5" s="96"/>
      <c r="Y5" s="96"/>
      <c r="Z5" s="96"/>
      <c r="AA5" s="96"/>
      <c r="AB5" s="97"/>
      <c r="AD5" s="101" t="s">
        <v>10</v>
      </c>
      <c r="AE5" s="96"/>
      <c r="AF5" s="96"/>
      <c r="AG5" s="96"/>
      <c r="AH5" s="96"/>
      <c r="AI5" s="97"/>
      <c r="AJ5" s="15"/>
      <c r="AK5" s="101" t="s">
        <v>10</v>
      </c>
      <c r="AL5" s="96"/>
      <c r="AM5" s="96"/>
      <c r="AN5" s="96"/>
      <c r="AO5" s="96"/>
      <c r="AP5" s="97"/>
      <c r="AR5" s="101" t="s">
        <v>10</v>
      </c>
      <c r="AS5" s="96"/>
      <c r="AT5" s="96"/>
      <c r="AU5" s="96"/>
      <c r="AV5" s="96"/>
      <c r="AW5" s="97"/>
      <c r="AX5" s="15"/>
      <c r="AY5" s="101" t="s">
        <v>10</v>
      </c>
      <c r="AZ5" s="96"/>
      <c r="BA5" s="96"/>
      <c r="BB5" s="96"/>
      <c r="BC5" s="96"/>
      <c r="BD5" s="97"/>
      <c r="BF5" s="105"/>
      <c r="BG5" s="106"/>
      <c r="BH5" s="106"/>
      <c r="BI5" s="106"/>
      <c r="BJ5" s="106"/>
      <c r="BK5" s="106"/>
    </row>
    <row r="6" spans="2:63" ht="17.149999999999999" customHeight="1" x14ac:dyDescent="0.35">
      <c r="B6" s="110" t="s">
        <v>96</v>
      </c>
      <c r="C6" s="96"/>
      <c r="D6" s="40" t="s">
        <v>11</v>
      </c>
      <c r="E6" s="95">
        <v>46243</v>
      </c>
      <c r="F6" s="108"/>
      <c r="G6" s="109"/>
      <c r="H6" s="16"/>
      <c r="I6" s="110" t="s">
        <v>97</v>
      </c>
      <c r="J6" s="96"/>
      <c r="K6" s="40" t="s">
        <v>11</v>
      </c>
      <c r="L6" s="95">
        <v>46246</v>
      </c>
      <c r="M6" s="96"/>
      <c r="N6" s="97"/>
      <c r="P6" s="110" t="s">
        <v>98</v>
      </c>
      <c r="Q6" s="96"/>
      <c r="R6" s="40" t="s">
        <v>11</v>
      </c>
      <c r="S6" s="95">
        <v>46249</v>
      </c>
      <c r="T6" s="108"/>
      <c r="U6" s="109"/>
      <c r="V6" s="16"/>
      <c r="W6" s="110" t="s">
        <v>99</v>
      </c>
      <c r="X6" s="96"/>
      <c r="Y6" s="40" t="s">
        <v>11</v>
      </c>
      <c r="Z6" s="95">
        <v>46252</v>
      </c>
      <c r="AA6" s="96"/>
      <c r="AB6" s="97"/>
      <c r="AD6" s="110" t="s">
        <v>100</v>
      </c>
      <c r="AE6" s="96"/>
      <c r="AF6" s="40" t="s">
        <v>11</v>
      </c>
      <c r="AG6" s="95">
        <v>46255</v>
      </c>
      <c r="AH6" s="96"/>
      <c r="AI6" s="97"/>
      <c r="AJ6" s="16"/>
      <c r="AK6" s="110" t="s">
        <v>101</v>
      </c>
      <c r="AL6" s="96"/>
      <c r="AM6" s="40" t="s">
        <v>11</v>
      </c>
      <c r="AN6" s="95">
        <v>46258</v>
      </c>
      <c r="AO6" s="96"/>
      <c r="AP6" s="97"/>
      <c r="AR6" s="110" t="s">
        <v>102</v>
      </c>
      <c r="AS6" s="96"/>
      <c r="AT6" s="40" t="s">
        <v>11</v>
      </c>
      <c r="AU6" s="95">
        <v>46261</v>
      </c>
      <c r="AV6" s="96"/>
      <c r="AW6" s="97"/>
      <c r="AX6" s="16"/>
      <c r="AY6" s="110" t="s">
        <v>103</v>
      </c>
      <c r="AZ6" s="96"/>
      <c r="BA6" s="40" t="s">
        <v>11</v>
      </c>
      <c r="BB6" s="95">
        <v>46264</v>
      </c>
      <c r="BC6" s="96"/>
      <c r="BD6" s="97"/>
      <c r="BF6" s="105"/>
      <c r="BG6" s="106"/>
      <c r="BH6" s="15"/>
      <c r="BI6" s="117"/>
      <c r="BJ6" s="106"/>
      <c r="BK6" s="106"/>
    </row>
    <row r="7" spans="2:63" ht="17.149999999999999" customHeight="1" x14ac:dyDescent="0.35">
      <c r="B7" s="114"/>
      <c r="C7" s="96"/>
      <c r="D7" s="96"/>
      <c r="E7" s="96"/>
      <c r="F7" s="96"/>
      <c r="G7" s="97"/>
      <c r="H7" s="15"/>
      <c r="I7" s="114"/>
      <c r="J7" s="96"/>
      <c r="K7" s="96"/>
      <c r="L7" s="96"/>
      <c r="M7" s="96"/>
      <c r="N7" s="97"/>
      <c r="P7" s="114"/>
      <c r="Q7" s="96"/>
      <c r="R7" s="96"/>
      <c r="S7" s="96"/>
      <c r="T7" s="96"/>
      <c r="U7" s="97"/>
      <c r="V7" s="15"/>
      <c r="W7" s="114"/>
      <c r="X7" s="96"/>
      <c r="Y7" s="96"/>
      <c r="Z7" s="96"/>
      <c r="AA7" s="96"/>
      <c r="AB7" s="97"/>
      <c r="AD7" s="114"/>
      <c r="AE7" s="96"/>
      <c r="AF7" s="96"/>
      <c r="AG7" s="96"/>
      <c r="AH7" s="96"/>
      <c r="AI7" s="97"/>
      <c r="AJ7" s="15"/>
      <c r="AK7" s="114"/>
      <c r="AL7" s="96"/>
      <c r="AM7" s="96"/>
      <c r="AN7" s="96"/>
      <c r="AO7" s="96"/>
      <c r="AP7" s="97"/>
      <c r="AR7" s="114"/>
      <c r="AS7" s="96"/>
      <c r="AT7" s="96"/>
      <c r="AU7" s="96"/>
      <c r="AV7" s="96"/>
      <c r="AW7" s="97"/>
      <c r="AX7" s="15"/>
      <c r="AY7" s="114"/>
      <c r="AZ7" s="96"/>
      <c r="BA7" s="96"/>
      <c r="BB7" s="96"/>
      <c r="BC7" s="96"/>
      <c r="BD7" s="97"/>
      <c r="BF7" s="105"/>
      <c r="BG7" s="106"/>
      <c r="BH7" s="106"/>
      <c r="BI7" s="106"/>
      <c r="BJ7" s="106"/>
      <c r="BK7" s="106"/>
    </row>
    <row r="8" spans="2:63" ht="17.149999999999999" customHeight="1" x14ac:dyDescent="0.35">
      <c r="B8" s="110" t="s">
        <v>12</v>
      </c>
      <c r="C8" s="96"/>
      <c r="D8" s="98" t="s">
        <v>13</v>
      </c>
      <c r="E8" s="96"/>
      <c r="F8" s="96"/>
      <c r="G8" s="97"/>
      <c r="H8" s="15"/>
      <c r="I8" s="110" t="s">
        <v>12</v>
      </c>
      <c r="J8" s="96"/>
      <c r="K8" s="98" t="s">
        <v>13</v>
      </c>
      <c r="L8" s="96"/>
      <c r="M8" s="96"/>
      <c r="N8" s="97"/>
      <c r="P8" s="110" t="s">
        <v>12</v>
      </c>
      <c r="Q8" s="96"/>
      <c r="R8" s="98" t="s">
        <v>13</v>
      </c>
      <c r="S8" s="96"/>
      <c r="T8" s="96"/>
      <c r="U8" s="97"/>
      <c r="V8" s="15"/>
      <c r="W8" s="110" t="s">
        <v>12</v>
      </c>
      <c r="X8" s="96"/>
      <c r="Y8" s="98" t="s">
        <v>13</v>
      </c>
      <c r="Z8" s="96"/>
      <c r="AA8" s="96"/>
      <c r="AB8" s="97"/>
      <c r="AD8" s="110" t="s">
        <v>12</v>
      </c>
      <c r="AE8" s="96"/>
      <c r="AF8" s="98" t="s">
        <v>13</v>
      </c>
      <c r="AG8" s="96"/>
      <c r="AH8" s="96"/>
      <c r="AI8" s="97"/>
      <c r="AJ8" s="15"/>
      <c r="AK8" s="110" t="s">
        <v>12</v>
      </c>
      <c r="AL8" s="96"/>
      <c r="AM8" s="98" t="s">
        <v>13</v>
      </c>
      <c r="AN8" s="96"/>
      <c r="AO8" s="96"/>
      <c r="AP8" s="97"/>
      <c r="AR8" s="110" t="s">
        <v>12</v>
      </c>
      <c r="AS8" s="96"/>
      <c r="AT8" s="98" t="s">
        <v>13</v>
      </c>
      <c r="AU8" s="96"/>
      <c r="AV8" s="96"/>
      <c r="AW8" s="97"/>
      <c r="AX8" s="15"/>
      <c r="AY8" s="110" t="s">
        <v>12</v>
      </c>
      <c r="AZ8" s="96"/>
      <c r="BA8" s="98" t="s">
        <v>13</v>
      </c>
      <c r="BB8" s="96"/>
      <c r="BC8" s="96"/>
      <c r="BD8" s="97"/>
      <c r="BF8" s="105"/>
      <c r="BG8" s="106"/>
      <c r="BH8" s="105"/>
      <c r="BI8" s="106"/>
      <c r="BJ8" s="106"/>
      <c r="BK8" s="106"/>
    </row>
    <row r="9" spans="2:63" ht="17.149999999999999" customHeight="1" x14ac:dyDescent="0.35">
      <c r="B9" s="107" t="s">
        <v>14</v>
      </c>
      <c r="C9" s="96"/>
      <c r="D9" s="115" t="s">
        <v>15</v>
      </c>
      <c r="E9" s="96"/>
      <c r="F9" s="96"/>
      <c r="G9" s="97"/>
      <c r="H9" s="15"/>
      <c r="I9" s="107" t="s">
        <v>14</v>
      </c>
      <c r="J9" s="96"/>
      <c r="K9" s="115" t="s">
        <v>15</v>
      </c>
      <c r="L9" s="96"/>
      <c r="M9" s="96"/>
      <c r="N9" s="97"/>
      <c r="P9" s="107" t="s">
        <v>14</v>
      </c>
      <c r="Q9" s="96"/>
      <c r="R9" s="115" t="s">
        <v>15</v>
      </c>
      <c r="S9" s="96"/>
      <c r="T9" s="96"/>
      <c r="U9" s="97"/>
      <c r="V9" s="15"/>
      <c r="W9" s="107" t="s">
        <v>14</v>
      </c>
      <c r="X9" s="96"/>
      <c r="Y9" s="115" t="s">
        <v>15</v>
      </c>
      <c r="Z9" s="96"/>
      <c r="AA9" s="96"/>
      <c r="AB9" s="97"/>
      <c r="AD9" s="107" t="s">
        <v>14</v>
      </c>
      <c r="AE9" s="96"/>
      <c r="AF9" s="115" t="s">
        <v>15</v>
      </c>
      <c r="AG9" s="96"/>
      <c r="AH9" s="96"/>
      <c r="AI9" s="97"/>
      <c r="AJ9" s="15"/>
      <c r="AK9" s="107" t="s">
        <v>14</v>
      </c>
      <c r="AL9" s="96"/>
      <c r="AM9" s="115" t="s">
        <v>15</v>
      </c>
      <c r="AN9" s="96"/>
      <c r="AO9" s="96"/>
      <c r="AP9" s="97"/>
      <c r="AR9" s="107" t="s">
        <v>14</v>
      </c>
      <c r="AS9" s="96"/>
      <c r="AT9" s="115" t="s">
        <v>15</v>
      </c>
      <c r="AU9" s="96"/>
      <c r="AV9" s="96"/>
      <c r="AW9" s="97"/>
      <c r="AX9" s="15"/>
      <c r="AY9" s="107" t="s">
        <v>14</v>
      </c>
      <c r="AZ9" s="96"/>
      <c r="BA9" s="115" t="s">
        <v>15</v>
      </c>
      <c r="BB9" s="96"/>
      <c r="BC9" s="96"/>
      <c r="BD9" s="97"/>
      <c r="BF9" s="105"/>
      <c r="BG9" s="106"/>
      <c r="BH9" s="105"/>
      <c r="BI9" s="106"/>
      <c r="BJ9" s="106"/>
      <c r="BK9" s="106"/>
    </row>
    <row r="10" spans="2:63" ht="17.149999999999999" customHeight="1" x14ac:dyDescent="0.35">
      <c r="B10" s="107" t="s">
        <v>16</v>
      </c>
      <c r="C10" s="96"/>
      <c r="D10" s="115" t="s">
        <v>16</v>
      </c>
      <c r="E10" s="96"/>
      <c r="F10" s="96"/>
      <c r="G10" s="97"/>
      <c r="H10" s="15"/>
      <c r="I10" s="107" t="s">
        <v>16</v>
      </c>
      <c r="J10" s="96"/>
      <c r="K10" s="115" t="s">
        <v>16</v>
      </c>
      <c r="L10" s="96"/>
      <c r="M10" s="96"/>
      <c r="N10" s="97"/>
      <c r="P10" s="107" t="s">
        <v>16</v>
      </c>
      <c r="Q10" s="96"/>
      <c r="R10" s="115" t="s">
        <v>16</v>
      </c>
      <c r="S10" s="96"/>
      <c r="T10" s="96"/>
      <c r="U10" s="97"/>
      <c r="V10" s="15"/>
      <c r="W10" s="107" t="s">
        <v>16</v>
      </c>
      <c r="X10" s="96"/>
      <c r="Y10" s="115" t="s">
        <v>16</v>
      </c>
      <c r="Z10" s="96"/>
      <c r="AA10" s="96"/>
      <c r="AB10" s="97"/>
      <c r="AD10" s="107" t="s">
        <v>16</v>
      </c>
      <c r="AE10" s="96"/>
      <c r="AF10" s="115" t="s">
        <v>16</v>
      </c>
      <c r="AG10" s="96"/>
      <c r="AH10" s="96"/>
      <c r="AI10" s="97"/>
      <c r="AJ10" s="15"/>
      <c r="AK10" s="107" t="s">
        <v>16</v>
      </c>
      <c r="AL10" s="96"/>
      <c r="AM10" s="115" t="s">
        <v>16</v>
      </c>
      <c r="AN10" s="96"/>
      <c r="AO10" s="96"/>
      <c r="AP10" s="97"/>
      <c r="AR10" s="107" t="s">
        <v>16</v>
      </c>
      <c r="AS10" s="96"/>
      <c r="AT10" s="115" t="s">
        <v>16</v>
      </c>
      <c r="AU10" s="96"/>
      <c r="AV10" s="96"/>
      <c r="AW10" s="97"/>
      <c r="AX10" s="15"/>
      <c r="AY10" s="107" t="s">
        <v>16</v>
      </c>
      <c r="AZ10" s="96"/>
      <c r="BA10" s="115" t="s">
        <v>16</v>
      </c>
      <c r="BB10" s="96"/>
      <c r="BC10" s="96"/>
      <c r="BD10" s="97"/>
      <c r="BF10" s="105"/>
      <c r="BG10" s="106"/>
      <c r="BH10" s="105"/>
      <c r="BI10" s="106"/>
      <c r="BJ10" s="106"/>
      <c r="BK10" s="106"/>
    </row>
    <row r="11" spans="2:63" ht="17.149999999999999" customHeight="1" x14ac:dyDescent="0.35">
      <c r="B11" s="107" t="s">
        <v>17</v>
      </c>
      <c r="C11" s="96"/>
      <c r="D11" s="115" t="s">
        <v>17</v>
      </c>
      <c r="E11" s="96"/>
      <c r="F11" s="96"/>
      <c r="G11" s="97"/>
      <c r="H11" s="15"/>
      <c r="I11" s="107" t="s">
        <v>17</v>
      </c>
      <c r="J11" s="96"/>
      <c r="K11" s="115" t="s">
        <v>17</v>
      </c>
      <c r="L11" s="96"/>
      <c r="M11" s="96"/>
      <c r="N11" s="97"/>
      <c r="P11" s="107" t="s">
        <v>17</v>
      </c>
      <c r="Q11" s="96"/>
      <c r="R11" s="115" t="s">
        <v>17</v>
      </c>
      <c r="S11" s="96"/>
      <c r="T11" s="96"/>
      <c r="U11" s="97"/>
      <c r="V11" s="15"/>
      <c r="W11" s="107" t="s">
        <v>17</v>
      </c>
      <c r="X11" s="96"/>
      <c r="Y11" s="115" t="s">
        <v>17</v>
      </c>
      <c r="Z11" s="96"/>
      <c r="AA11" s="96"/>
      <c r="AB11" s="97"/>
      <c r="AD11" s="107" t="s">
        <v>17</v>
      </c>
      <c r="AE11" s="96"/>
      <c r="AF11" s="115" t="s">
        <v>17</v>
      </c>
      <c r="AG11" s="96"/>
      <c r="AH11" s="96"/>
      <c r="AI11" s="97"/>
      <c r="AJ11" s="15"/>
      <c r="AK11" s="107" t="s">
        <v>17</v>
      </c>
      <c r="AL11" s="96"/>
      <c r="AM11" s="115" t="s">
        <v>17</v>
      </c>
      <c r="AN11" s="96"/>
      <c r="AO11" s="96"/>
      <c r="AP11" s="97"/>
      <c r="AR11" s="107" t="s">
        <v>17</v>
      </c>
      <c r="AS11" s="96"/>
      <c r="AT11" s="115" t="s">
        <v>17</v>
      </c>
      <c r="AU11" s="96"/>
      <c r="AV11" s="96"/>
      <c r="AW11" s="97"/>
      <c r="AX11" s="15"/>
      <c r="AY11" s="107" t="s">
        <v>17</v>
      </c>
      <c r="AZ11" s="96"/>
      <c r="BA11" s="115" t="s">
        <v>17</v>
      </c>
      <c r="BB11" s="96"/>
      <c r="BC11" s="96"/>
      <c r="BD11" s="97"/>
      <c r="BF11" s="105"/>
      <c r="BG11" s="106"/>
      <c r="BH11" s="105"/>
      <c r="BI11" s="106"/>
      <c r="BJ11" s="106"/>
      <c r="BK11" s="106"/>
    </row>
    <row r="12" spans="2:63" ht="17.149999999999999" customHeight="1" thickBot="1" x14ac:dyDescent="0.4">
      <c r="B12" s="93" t="s">
        <v>18</v>
      </c>
      <c r="C12" s="94"/>
      <c r="D12" s="99"/>
      <c r="E12" s="94"/>
      <c r="F12" s="94"/>
      <c r="G12" s="100"/>
      <c r="H12" s="15"/>
      <c r="I12" s="93" t="s">
        <v>18</v>
      </c>
      <c r="J12" s="94"/>
      <c r="K12" s="99"/>
      <c r="L12" s="94"/>
      <c r="M12" s="94"/>
      <c r="N12" s="100"/>
      <c r="P12" s="93" t="s">
        <v>18</v>
      </c>
      <c r="Q12" s="94"/>
      <c r="R12" s="99"/>
      <c r="S12" s="94"/>
      <c r="T12" s="94"/>
      <c r="U12" s="100"/>
      <c r="V12" s="15"/>
      <c r="W12" s="93" t="s">
        <v>18</v>
      </c>
      <c r="X12" s="94"/>
      <c r="Y12" s="99"/>
      <c r="Z12" s="94"/>
      <c r="AA12" s="94"/>
      <c r="AB12" s="100"/>
      <c r="AD12" s="93" t="s">
        <v>18</v>
      </c>
      <c r="AE12" s="94"/>
      <c r="AF12" s="99"/>
      <c r="AG12" s="94"/>
      <c r="AH12" s="94"/>
      <c r="AI12" s="100"/>
      <c r="AJ12" s="15"/>
      <c r="AK12" s="93" t="s">
        <v>18</v>
      </c>
      <c r="AL12" s="94"/>
      <c r="AM12" s="99"/>
      <c r="AN12" s="94"/>
      <c r="AO12" s="94"/>
      <c r="AP12" s="100"/>
      <c r="AR12" s="93" t="s">
        <v>18</v>
      </c>
      <c r="AS12" s="94"/>
      <c r="AT12" s="99"/>
      <c r="AU12" s="94"/>
      <c r="AV12" s="94"/>
      <c r="AW12" s="100"/>
      <c r="AX12" s="15"/>
      <c r="AY12" s="93" t="s">
        <v>18</v>
      </c>
      <c r="AZ12" s="94"/>
      <c r="BA12" s="99"/>
      <c r="BB12" s="94"/>
      <c r="BC12" s="94"/>
      <c r="BD12" s="100"/>
      <c r="BF12" s="105"/>
      <c r="BG12" s="106"/>
      <c r="BH12" s="105"/>
      <c r="BI12" s="106"/>
      <c r="BJ12" s="106"/>
      <c r="BK12" s="106"/>
    </row>
    <row r="13" spans="2:63" ht="17.149999999999999" customHeight="1" x14ac:dyDescent="0.25">
      <c r="B13" s="64" t="s">
        <v>19</v>
      </c>
      <c r="C13" s="31" t="s">
        <v>20</v>
      </c>
      <c r="D13" s="65" t="s">
        <v>65</v>
      </c>
      <c r="E13" s="65" t="s">
        <v>22</v>
      </c>
      <c r="F13" s="65" t="s">
        <v>23</v>
      </c>
      <c r="G13" s="66" t="s">
        <v>66</v>
      </c>
      <c r="H13" s="17"/>
      <c r="I13" s="64" t="s">
        <v>19</v>
      </c>
      <c r="J13" s="31" t="s">
        <v>20</v>
      </c>
      <c r="K13" s="65" t="s">
        <v>65</v>
      </c>
      <c r="L13" s="65" t="s">
        <v>22</v>
      </c>
      <c r="M13" s="65" t="s">
        <v>23</v>
      </c>
      <c r="N13" s="66" t="s">
        <v>66</v>
      </c>
      <c r="P13" s="64" t="s">
        <v>19</v>
      </c>
      <c r="Q13" s="31" t="s">
        <v>20</v>
      </c>
      <c r="R13" s="65" t="s">
        <v>65</v>
      </c>
      <c r="S13" s="65" t="s">
        <v>22</v>
      </c>
      <c r="T13" s="65" t="s">
        <v>23</v>
      </c>
      <c r="U13" s="66" t="s">
        <v>66</v>
      </c>
      <c r="V13" s="17"/>
      <c r="W13" s="64" t="s">
        <v>19</v>
      </c>
      <c r="X13" s="31" t="s">
        <v>20</v>
      </c>
      <c r="Y13" s="65" t="s">
        <v>65</v>
      </c>
      <c r="Z13" s="65" t="s">
        <v>22</v>
      </c>
      <c r="AA13" s="65" t="s">
        <v>23</v>
      </c>
      <c r="AB13" s="66" t="s">
        <v>66</v>
      </c>
      <c r="AD13" s="64" t="s">
        <v>19</v>
      </c>
      <c r="AE13" s="31" t="s">
        <v>20</v>
      </c>
      <c r="AF13" s="65" t="s">
        <v>65</v>
      </c>
      <c r="AG13" s="65" t="s">
        <v>22</v>
      </c>
      <c r="AH13" s="65" t="s">
        <v>23</v>
      </c>
      <c r="AI13" s="66" t="s">
        <v>66</v>
      </c>
      <c r="AJ13" s="17"/>
      <c r="AK13" s="64" t="s">
        <v>19</v>
      </c>
      <c r="AL13" s="31" t="s">
        <v>20</v>
      </c>
      <c r="AM13" s="65" t="s">
        <v>65</v>
      </c>
      <c r="AN13" s="65" t="s">
        <v>22</v>
      </c>
      <c r="AO13" s="65" t="s">
        <v>23</v>
      </c>
      <c r="AP13" s="66" t="s">
        <v>66</v>
      </c>
      <c r="AR13" s="64" t="s">
        <v>19</v>
      </c>
      <c r="AS13" s="31" t="s">
        <v>20</v>
      </c>
      <c r="AT13" s="65" t="s">
        <v>65</v>
      </c>
      <c r="AU13" s="65" t="s">
        <v>22</v>
      </c>
      <c r="AV13" s="65" t="s">
        <v>23</v>
      </c>
      <c r="AW13" s="66" t="s">
        <v>66</v>
      </c>
      <c r="AX13" s="17"/>
      <c r="AY13" s="64" t="s">
        <v>19</v>
      </c>
      <c r="AZ13" s="31" t="s">
        <v>20</v>
      </c>
      <c r="BA13" s="65" t="s">
        <v>65</v>
      </c>
      <c r="BB13" s="65" t="s">
        <v>22</v>
      </c>
      <c r="BC13" s="65" t="s">
        <v>23</v>
      </c>
      <c r="BD13" s="66" t="s">
        <v>66</v>
      </c>
      <c r="BF13" s="4"/>
      <c r="BG13" s="4"/>
      <c r="BH13" s="17"/>
      <c r="BI13" s="17"/>
      <c r="BJ13" s="17"/>
      <c r="BK13" s="17"/>
    </row>
    <row r="14" spans="2:63" ht="17.149999999999999" customHeight="1" x14ac:dyDescent="0.25">
      <c r="B14" s="67">
        <v>1</v>
      </c>
      <c r="C14" s="29" t="str">
        <f>'Purchase August 2026'!C14</f>
        <v>Buzzballz Easy-to-Drink Flavoured Alcoholic Beverage Berry Lemon Squeeze Aromatized Wine-PET 180MLx48P.Btls(0609)</v>
      </c>
      <c r="D14" s="28">
        <f>'Purchase August 2026'!D14</f>
        <v>0</v>
      </c>
      <c r="E14" s="28">
        <f>'Purchase August 2026'!E14</f>
        <v>24</v>
      </c>
      <c r="F14" s="30">
        <f>'Purchase August 2026'!F14</f>
        <v>4363.6400000000003</v>
      </c>
      <c r="G14" s="68">
        <f>('Purchase August 2026'!G14)*1.1</f>
        <v>2400.0020000000004</v>
      </c>
      <c r="H14" s="19"/>
      <c r="I14" s="67">
        <v>1</v>
      </c>
      <c r="J14" s="29" t="str">
        <f>'Purchase August 2026'!C30</f>
        <v>Old Monk Very Old Vatted Special XXX Rum-Aseptic Brick Pack 180MLx48ABP(0532)</v>
      </c>
      <c r="K14" s="28">
        <f>'Purchase August 2026'!D30</f>
        <v>1</v>
      </c>
      <c r="L14" s="28">
        <f>'Purchase August 2026'!E30</f>
        <v>0</v>
      </c>
      <c r="M14" s="30">
        <f>'Purchase August 2026'!F30</f>
        <v>7629.11</v>
      </c>
      <c r="N14" s="68">
        <f>('Purchase August 2026'!G30)*1.1</f>
        <v>8392.0210000000006</v>
      </c>
      <c r="P14" s="67">
        <v>1</v>
      </c>
      <c r="Q14" s="29" t="str">
        <f>'Purchase August 2026'!J14</f>
        <v>Bacardi+Cranberry 275MLx24Btls(0057)</v>
      </c>
      <c r="R14" s="28">
        <f>'Purchase August 2026'!K14</f>
        <v>1</v>
      </c>
      <c r="S14" s="28">
        <f>'Purchase August 2026'!L14</f>
        <v>0</v>
      </c>
      <c r="T14" s="30">
        <f>'Purchase August 2026'!M14</f>
        <v>2509.06</v>
      </c>
      <c r="U14" s="68">
        <f>('Purchase August 2026'!N14)*1.1</f>
        <v>2759.9660000000003</v>
      </c>
      <c r="V14" s="19"/>
      <c r="W14" s="67">
        <v>1</v>
      </c>
      <c r="X14" s="29" t="str">
        <f>'Purchase August 2026'!J30</f>
        <v>Mcdowell's No.1 Celebration Classic XXX Rum - Tetra Pack 180MLx48T.Packs(0524)</v>
      </c>
      <c r="Y14" s="28">
        <f>'Purchase August 2026'!K30</f>
        <v>1</v>
      </c>
      <c r="Z14" s="28">
        <f>'Purchase August 2026'!L30</f>
        <v>0</v>
      </c>
      <c r="AA14" s="30">
        <f>'Purchase August 2026'!M30</f>
        <v>7155.96</v>
      </c>
      <c r="AB14" s="68">
        <f>('Purchase August 2026'!N30)*1.1</f>
        <v>7871.5560000000005</v>
      </c>
      <c r="AD14" s="67">
        <v>1</v>
      </c>
      <c r="AE14" s="29" t="str">
        <f>'Purchase August 2026'!Q14</f>
        <v>Bagpiper Deluxe Whisky-Aseptic Brick Pack(40%) 180MLx48ABP(0546)</v>
      </c>
      <c r="AF14" s="28">
        <f>'Purchase August 2026'!R14</f>
        <v>2</v>
      </c>
      <c r="AG14" s="28">
        <f>'Purchase August 2026'!S14</f>
        <v>0</v>
      </c>
      <c r="AH14" s="30">
        <f>'Purchase August 2026'!T14</f>
        <v>6731.49</v>
      </c>
      <c r="AI14" s="68">
        <f>('Purchase August 2026'!U14)*1.1</f>
        <v>14809.278</v>
      </c>
      <c r="AJ14" s="19"/>
      <c r="AK14" s="67">
        <v>1</v>
      </c>
      <c r="AL14" s="29" t="str">
        <f>'Purchase August 2026'!Q27</f>
        <v>Magic Moments Remix Flavoured Vodka ORANGE 180ML(0502)</v>
      </c>
      <c r="AM14" s="28">
        <f>'Purchase August 2026'!R27</f>
        <v>0</v>
      </c>
      <c r="AN14" s="28">
        <f>'Purchase August 2026'!S27</f>
        <v>24</v>
      </c>
      <c r="AO14" s="30">
        <f>'Purchase August 2026'!T27</f>
        <v>11500.22</v>
      </c>
      <c r="AP14" s="68">
        <f>('Purchase August 2026'!U27)*1.1</f>
        <v>6325.1210000000001</v>
      </c>
      <c r="AR14" s="67">
        <v>1</v>
      </c>
      <c r="AS14" s="29" t="str">
        <f>'Purchase August 2026'!X14</f>
        <v>Bagpiper Deluxe Whisky-PET(40%)750MLx12P.Btls(0538)</v>
      </c>
      <c r="AT14" s="28">
        <f>'Purchase August 2026'!Y14</f>
        <v>1</v>
      </c>
      <c r="AU14" s="28">
        <f>'Purchase August 2026'!Z14</f>
        <v>0</v>
      </c>
      <c r="AV14" s="30">
        <f>'Purchase August 2026'!AA14</f>
        <v>6984.75</v>
      </c>
      <c r="AW14" s="68">
        <f>('Purchase August 2026'!AB14)*1.1</f>
        <v>7683.2250000000004</v>
      </c>
      <c r="AX14" s="19"/>
      <c r="AY14" s="67">
        <v>1</v>
      </c>
      <c r="AZ14" s="29" t="str">
        <f>'Purchase August 2026'!X31</f>
        <v>Old Monk Very Old Vatted Special XXX Rum-Aseptic Brick Pack 180MLx48ABP(0532)</v>
      </c>
      <c r="BA14" s="28">
        <f>'Purchase August 2026'!Y31</f>
        <v>1</v>
      </c>
      <c r="BB14" s="28">
        <f>'Purchase August 2026'!Z31</f>
        <v>0</v>
      </c>
      <c r="BC14" s="30">
        <f>'Purchase August 2026'!AA31</f>
        <v>7629.11</v>
      </c>
      <c r="BD14" s="68">
        <f>('Purchase August 2026'!AB31)*1.1</f>
        <v>8392.0210000000006</v>
      </c>
      <c r="BF14" s="5"/>
      <c r="BG14" s="18"/>
      <c r="BH14" s="5"/>
      <c r="BI14" s="5"/>
      <c r="BJ14" s="19"/>
      <c r="BK14" s="19"/>
    </row>
    <row r="15" spans="2:63" ht="17.149999999999999" customHeight="1" x14ac:dyDescent="0.25">
      <c r="B15" s="67">
        <v>2</v>
      </c>
      <c r="C15" s="29" t="str">
        <f>'Purchase August 2026'!C15</f>
        <v>Buzzballz Easy-to-Drink Flavoured Alcoholic Beverage Strawberry Squeeze Aromatized Wine-PET 180MLx48P.Btls(0609)</v>
      </c>
      <c r="D15" s="28">
        <f>'Purchase August 2026'!D15</f>
        <v>0</v>
      </c>
      <c r="E15" s="28">
        <f>'Purchase August 2026'!E15</f>
        <v>24</v>
      </c>
      <c r="F15" s="30">
        <f>'Purchase August 2026'!F15</f>
        <v>4363.6400000000003</v>
      </c>
      <c r="G15" s="68">
        <f>('Purchase August 2026'!G15)*1.1</f>
        <v>2400.0020000000004</v>
      </c>
      <c r="H15" s="19"/>
      <c r="I15" s="67">
        <v>2</v>
      </c>
      <c r="J15" s="29" t="str">
        <f>'Purchase August 2026'!C31</f>
        <v>Magic Moments Remix Flavoured Vodka ORANGE 750ML(0502)</v>
      </c>
      <c r="K15" s="28">
        <f>'Purchase August 2026'!D31</f>
        <v>0</v>
      </c>
      <c r="L15" s="28">
        <f>'Purchase August 2026'!E31</f>
        <v>3</v>
      </c>
      <c r="M15" s="30">
        <f>'Purchase August 2026'!F31</f>
        <v>11873.32</v>
      </c>
      <c r="N15" s="68">
        <f>('Purchase August 2026'!G31)*1.1</f>
        <v>3265.163</v>
      </c>
      <c r="P15" s="67">
        <v>2</v>
      </c>
      <c r="Q15" s="29" t="str">
        <f>'Purchase August 2026'!J15</f>
        <v>Breezer Tangy Cranberry Flavour 275MLx24Btls(0057)</v>
      </c>
      <c r="R15" s="28">
        <f>'Purchase August 2026'!K15</f>
        <v>1</v>
      </c>
      <c r="S15" s="28">
        <f>'Purchase August 2026'!L15</f>
        <v>0</v>
      </c>
      <c r="T15" s="30">
        <f>'Purchase August 2026'!M15</f>
        <v>2836.36</v>
      </c>
      <c r="U15" s="68">
        <f>('Purchase August 2026'!N15)*1.1</f>
        <v>3119.9960000000005</v>
      </c>
      <c r="V15" s="19"/>
      <c r="W15" s="67">
        <v>2</v>
      </c>
      <c r="X15" s="29" t="str">
        <f>'Purchase August 2026'!J31</f>
        <v>Old Monk Very Old Vatted Special XXX Rum-Aseptic Brick Pack 180MLx48ABP(0532)</v>
      </c>
      <c r="Y15" s="28">
        <f>'Purchase August 2026'!K31</f>
        <v>1</v>
      </c>
      <c r="Z15" s="28">
        <f>'Purchase August 2026'!L31</f>
        <v>0</v>
      </c>
      <c r="AA15" s="30">
        <f>'Purchase August 2026'!M31</f>
        <v>7629.11</v>
      </c>
      <c r="AB15" s="68">
        <f>('Purchase August 2026'!N31)*1.1</f>
        <v>8392.0210000000006</v>
      </c>
      <c r="AD15" s="67">
        <v>2</v>
      </c>
      <c r="AE15" s="29" t="str">
        <f>'Purchase August 2026'!Q15</f>
        <v>DSP Black Deluxe Whisky-PET 180MLx48P.Btls(0020)</v>
      </c>
      <c r="AF15" s="28">
        <f>'Purchase August 2026'!R15</f>
        <v>1</v>
      </c>
      <c r="AG15" s="28">
        <f>'Purchase August 2026'!S15</f>
        <v>0</v>
      </c>
      <c r="AH15" s="30">
        <f>'Purchase August 2026'!T15</f>
        <v>8805.34</v>
      </c>
      <c r="AI15" s="68">
        <f>('Purchase August 2026'!U15)*1.1</f>
        <v>9685.8740000000016</v>
      </c>
      <c r="AJ15" s="19"/>
      <c r="AK15" s="67">
        <v>2</v>
      </c>
      <c r="AL15" s="29" t="str">
        <f>'Purchase August 2026'!Q28</f>
        <v>Budweiser Premium King of Beers 650MLx12Btls(0217)</v>
      </c>
      <c r="AM15" s="28">
        <f>'Purchase August 2026'!R28</f>
        <v>4</v>
      </c>
      <c r="AN15" s="28">
        <f>'Purchase August 2026'!S28</f>
        <v>0</v>
      </c>
      <c r="AO15" s="30">
        <f>'Purchase August 2026'!T28</f>
        <v>2232.11</v>
      </c>
      <c r="AP15" s="68">
        <f>('Purchase August 2026'!U28)*1.1</f>
        <v>9821.2840000000015</v>
      </c>
      <c r="AR15" s="67">
        <v>2</v>
      </c>
      <c r="AS15" s="29" t="str">
        <f>'Purchase August 2026'!X15</f>
        <v>Bagpiper Deluxe Whisky-Tetra Pack (40%) 180MLx48Btls(0544)</v>
      </c>
      <c r="AT15" s="28">
        <f>'Purchase August 2026'!Y15</f>
        <v>2</v>
      </c>
      <c r="AU15" s="28">
        <f>'Purchase August 2026'!Z15</f>
        <v>0</v>
      </c>
      <c r="AV15" s="30">
        <f>'Purchase August 2026'!AA15</f>
        <v>6731.49</v>
      </c>
      <c r="AW15" s="68">
        <f>('Purchase August 2026'!AB15)*1.1</f>
        <v>14809.278</v>
      </c>
      <c r="AX15" s="19"/>
      <c r="AY15" s="67">
        <v>2</v>
      </c>
      <c r="AZ15" s="29" t="str">
        <f>'Purchase August 2026'!X32</f>
        <v>Platinum Romanov Flavoured Vodka Zesty Orange 180MLx48Btls(0538)</v>
      </c>
      <c r="BA15" s="28">
        <f>'Purchase August 2026'!Y32</f>
        <v>1</v>
      </c>
      <c r="BB15" s="28">
        <f>'Purchase August 2026'!Z32</f>
        <v>0</v>
      </c>
      <c r="BC15" s="30">
        <f>'Purchase August 2026'!AA32</f>
        <v>8307.33</v>
      </c>
      <c r="BD15" s="68">
        <f>('Purchase August 2026'!AB32)*1.1</f>
        <v>9138.0630000000001</v>
      </c>
      <c r="BF15" s="5"/>
      <c r="BG15" s="18"/>
      <c r="BH15" s="5"/>
      <c r="BI15" s="5"/>
      <c r="BJ15" s="19"/>
      <c r="BK15" s="19"/>
    </row>
    <row r="16" spans="2:63" ht="17.149999999999999" customHeight="1" x14ac:dyDescent="0.25">
      <c r="B16" s="67">
        <v>3</v>
      </c>
      <c r="C16" s="29" t="str">
        <f>'Purchase August 2026'!C16</f>
        <v>After Dark Blue Classic Grain Whisky-PET 180MLx48P.Btls(0537)</v>
      </c>
      <c r="D16" s="28">
        <f>'Purchase August 2026'!D16</f>
        <v>1</v>
      </c>
      <c r="E16" s="28">
        <f>'Purchase August 2026'!E16</f>
        <v>0</v>
      </c>
      <c r="F16" s="30">
        <f>'Purchase August 2026'!F16</f>
        <v>8718.7800000000007</v>
      </c>
      <c r="G16" s="68">
        <f>('Purchase August 2026'!G16)*1.1</f>
        <v>9590.6580000000013</v>
      </c>
      <c r="H16" s="19"/>
      <c r="I16" s="67">
        <v>3</v>
      </c>
      <c r="J16" s="29" t="str">
        <f>'Purchase August 2026'!C32</f>
        <v>Smirnoff Orange Triple Distilled Vodka 750MLx12Btls(0020)</v>
      </c>
      <c r="K16" s="28">
        <f>'Purchase August 2026'!D32</f>
        <v>0</v>
      </c>
      <c r="L16" s="28">
        <f>'Purchase August 2026'!E32</f>
        <v>3</v>
      </c>
      <c r="M16" s="30">
        <f>'Purchase August 2026'!F32</f>
        <v>14276.28</v>
      </c>
      <c r="N16" s="68">
        <f>('Purchase August 2026'!G32)*1.1</f>
        <v>3925.9770000000003</v>
      </c>
      <c r="P16" s="67">
        <v>3</v>
      </c>
      <c r="Q16" s="29" t="str">
        <f>'Purchase August 2026'!J16</f>
        <v>Bagpiper Deluxe Whisky-Tetra Pack (40%) 180MLx48Btls(0544)</v>
      </c>
      <c r="R16" s="28">
        <f>'Purchase August 2026'!K16</f>
        <v>1</v>
      </c>
      <c r="S16" s="28">
        <f>'Purchase August 2026'!L16</f>
        <v>0</v>
      </c>
      <c r="T16" s="30">
        <f>'Purchase August 2026'!M16</f>
        <v>6731.49</v>
      </c>
      <c r="U16" s="68">
        <f>('Purchase August 2026'!N16)*1.1</f>
        <v>7404.6390000000001</v>
      </c>
      <c r="V16" s="19"/>
      <c r="W16" s="67">
        <v>3</v>
      </c>
      <c r="X16" s="29" t="str">
        <f>'Purchase August 2026'!J32</f>
        <v>Magic Moments Remix Flavoured Vodka ORANGE 750ML(0502)</v>
      </c>
      <c r="Y16" s="28">
        <f>'Purchase August 2026'!K32</f>
        <v>0</v>
      </c>
      <c r="Z16" s="28">
        <f>'Purchase August 2026'!L32</f>
        <v>3</v>
      </c>
      <c r="AA16" s="30">
        <f>'Purchase August 2026'!M32</f>
        <v>11873.32</v>
      </c>
      <c r="AB16" s="68">
        <f>('Purchase August 2026'!N32)*1.1</f>
        <v>3265.163</v>
      </c>
      <c r="AD16" s="67">
        <v>3</v>
      </c>
      <c r="AE16" s="29" t="str">
        <f>'Purchase August 2026'!Q16</f>
        <v>Director's Special Whisky-Tetra Pack 180MLx48T.Packs(0524)</v>
      </c>
      <c r="AF16" s="28">
        <f>'Purchase August 2026'!R16</f>
        <v>1</v>
      </c>
      <c r="AG16" s="28">
        <f>'Purchase August 2026'!S16</f>
        <v>0</v>
      </c>
      <c r="AH16" s="30">
        <f>'Purchase August 2026'!T16</f>
        <v>7156.97</v>
      </c>
      <c r="AI16" s="68">
        <f>('Purchase August 2026'!U16)*1.1</f>
        <v>7872.6670000000013</v>
      </c>
      <c r="AJ16" s="19"/>
      <c r="AK16" s="67">
        <v>3</v>
      </c>
      <c r="AL16" s="29" t="str">
        <f>'Purchase August 2026'!Q29</f>
        <v>Copenhagen Tuborg Strong Premium Beer 330MLx24Btls(0205)</v>
      </c>
      <c r="AM16" s="28">
        <f>'Purchase August 2026'!R29</f>
        <v>2</v>
      </c>
      <c r="AN16" s="28">
        <f>'Purchase August 2026'!S29</f>
        <v>0</v>
      </c>
      <c r="AO16" s="30">
        <f>'Purchase August 2026'!T29</f>
        <v>2725.8</v>
      </c>
      <c r="AP16" s="68">
        <f>('Purchase August 2026'!U29)*1.1</f>
        <v>5996.7600000000011</v>
      </c>
      <c r="AR16" s="67">
        <v>3</v>
      </c>
      <c r="AS16" s="29" t="str">
        <f>'Purchase August 2026'!X16</f>
        <v>Black &amp; White Blended Scotch Whisky 750MLx12Btls(0020)</v>
      </c>
      <c r="AT16" s="28">
        <f>'Purchase August 2026'!Y16</f>
        <v>0</v>
      </c>
      <c r="AU16" s="28">
        <f>'Purchase August 2026'!Z16</f>
        <v>3</v>
      </c>
      <c r="AV16" s="30">
        <f>'Purchase August 2026'!AA16</f>
        <v>25883.17</v>
      </c>
      <c r="AW16" s="68">
        <f>('Purchase August 2026'!AB16)*1.1</f>
        <v>7117.8690000000006</v>
      </c>
      <c r="AX16" s="19"/>
      <c r="AY16" s="67">
        <v>3</v>
      </c>
      <c r="AZ16" s="29" t="str">
        <f>'Purchase August 2026'!X33</f>
        <v>Budweiser Magnum Premium Superior Beer 650MLx12Btls(0217)</v>
      </c>
      <c r="BA16" s="28">
        <f>'Purchase August 2026'!Y33</f>
        <v>4</v>
      </c>
      <c r="BB16" s="28">
        <f>'Purchase August 2026'!Z33</f>
        <v>0</v>
      </c>
      <c r="BC16" s="30">
        <f>'Purchase August 2026'!AA33</f>
        <v>2727.27</v>
      </c>
      <c r="BD16" s="68">
        <f>('Purchase August 2026'!AB33)*1.1</f>
        <v>11999.988000000001</v>
      </c>
      <c r="BF16" s="5"/>
      <c r="BG16" s="18"/>
      <c r="BH16" s="5"/>
      <c r="BI16" s="5"/>
      <c r="BJ16" s="19"/>
      <c r="BK16" s="19"/>
    </row>
    <row r="17" spans="2:63" ht="17.149999999999999" customHeight="1" x14ac:dyDescent="0.25">
      <c r="B17" s="67">
        <v>4</v>
      </c>
      <c r="C17" s="29" t="str">
        <f>'Purchase August 2026'!C17</f>
        <v>Bagpiper Deluxe Whisky-PET(40%)750MLx12P.Btls(0538)</v>
      </c>
      <c r="D17" s="28">
        <f>'Purchase August 2026'!D17</f>
        <v>1</v>
      </c>
      <c r="E17" s="28">
        <f>'Purchase August 2026'!E17</f>
        <v>0</v>
      </c>
      <c r="F17" s="30">
        <f>'Purchase August 2026'!F17</f>
        <v>6984.75</v>
      </c>
      <c r="G17" s="68">
        <f>('Purchase August 2026'!G17)*1.1</f>
        <v>7683.2250000000004</v>
      </c>
      <c r="H17" s="19"/>
      <c r="I17" s="67">
        <v>4</v>
      </c>
      <c r="J17" s="29" t="str">
        <f>'Purchase August 2026'!C33</f>
        <v>Budweiser Magnum Beer 650MLx12Btls(0217)</v>
      </c>
      <c r="K17" s="28">
        <f>'Purchase August 2026'!D33</f>
        <v>2</v>
      </c>
      <c r="L17" s="28">
        <f>'Purchase August 2026'!E33</f>
        <v>0</v>
      </c>
      <c r="M17" s="30">
        <f>'Purchase August 2026'!F33</f>
        <v>2727.19</v>
      </c>
      <c r="N17" s="68">
        <f>('Purchase August 2026'!G33)*1.1</f>
        <v>5999.8180000000002</v>
      </c>
      <c r="P17" s="67">
        <v>4</v>
      </c>
      <c r="Q17" s="29" t="str">
        <f>'Purchase August 2026'!J17</f>
        <v>Black &amp; White Blended Scotch Whisky 750MLx12Btls(0020)</v>
      </c>
      <c r="R17" s="28">
        <f>'Purchase August 2026'!K17</f>
        <v>0</v>
      </c>
      <c r="S17" s="28">
        <f>'Purchase August 2026'!L17</f>
        <v>3</v>
      </c>
      <c r="T17" s="30">
        <f>'Purchase August 2026'!M17</f>
        <v>25883.17</v>
      </c>
      <c r="U17" s="68">
        <f>('Purchase August 2026'!N17)*1.1</f>
        <v>7117.8690000000006</v>
      </c>
      <c r="V17" s="19"/>
      <c r="W17" s="67">
        <v>4</v>
      </c>
      <c r="X17" s="29" t="str">
        <f>'Purchase August 2026'!J33</f>
        <v>Platinum Romanov Flavoured Vodka Zesty Orange 180MLx48Btls(0538)</v>
      </c>
      <c r="Y17" s="28">
        <f>'Purchase August 2026'!K33</f>
        <v>1</v>
      </c>
      <c r="Z17" s="28">
        <f>'Purchase August 2026'!L33</f>
        <v>0</v>
      </c>
      <c r="AA17" s="30">
        <f>'Purchase August 2026'!M33</f>
        <v>8307.33</v>
      </c>
      <c r="AB17" s="68">
        <f>('Purchase August 2026'!N33)*1.1</f>
        <v>9138.0630000000001</v>
      </c>
      <c r="AD17" s="67">
        <v>4</v>
      </c>
      <c r="AE17" s="29" t="str">
        <f>'Purchase August 2026'!Q17</f>
        <v>MCDOWELLS NO.1 PREMIUM RESERVE WHISKY 750MLx12Btls(0020)</v>
      </c>
      <c r="AF17" s="28">
        <f>'Purchase August 2026'!R17</f>
        <v>1</v>
      </c>
      <c r="AG17" s="28">
        <f>'Purchase August 2026'!S17</f>
        <v>0</v>
      </c>
      <c r="AH17" s="30">
        <f>'Purchase August 2026'!T17</f>
        <v>9084.2000000000007</v>
      </c>
      <c r="AI17" s="68">
        <f>('Purchase August 2026'!U17)*1.1</f>
        <v>9992.6200000000008</v>
      </c>
      <c r="AJ17" s="19"/>
      <c r="AK17" s="67">
        <v>4</v>
      </c>
      <c r="AL17" s="29" t="str">
        <f>'Purchase August 2026'!Q30</f>
        <v>Copenhagen Tuborg Strong Premium Beer 650MLx12Btls(0205)</v>
      </c>
      <c r="AM17" s="28">
        <f>'Purchase August 2026'!R30</f>
        <v>6</v>
      </c>
      <c r="AN17" s="28">
        <f>'Purchase August 2026'!S30</f>
        <v>0</v>
      </c>
      <c r="AO17" s="30">
        <f>'Purchase August 2026'!T30</f>
        <v>1867.49</v>
      </c>
      <c r="AP17" s="68">
        <f>('Purchase August 2026'!U30)*1.1</f>
        <v>12325.434000000001</v>
      </c>
      <c r="AR17" s="67">
        <v>4</v>
      </c>
      <c r="AS17" s="29" t="str">
        <f>'Purchase August 2026'!X17</f>
        <v>Black &amp; White Blended Scotch Whisky-PET 180MLx48P.Btls(0020)</v>
      </c>
      <c r="AT17" s="28">
        <f>'Purchase August 2026'!Y17</f>
        <v>0</v>
      </c>
      <c r="AU17" s="28">
        <f>'Purchase August 2026'!Z17</f>
        <v>24</v>
      </c>
      <c r="AV17" s="30">
        <f>'Purchase August 2026'!AA17</f>
        <v>25154.37</v>
      </c>
      <c r="AW17" s="68">
        <f>('Purchase August 2026'!AB17)*1.1</f>
        <v>13834.909000000001</v>
      </c>
      <c r="AX17" s="19"/>
      <c r="AY17" s="67">
        <v>4</v>
      </c>
      <c r="AZ17" s="29" t="str">
        <f>'Purchase August 2026'!X34</f>
        <v>Carlsberg Elephant Strong Super Premium Beer 650MLx12Btls(0205)</v>
      </c>
      <c r="BA17" s="28">
        <f>'Purchase August 2026'!Y34</f>
        <v>2</v>
      </c>
      <c r="BB17" s="28">
        <f>'Purchase August 2026'!Z34</f>
        <v>0</v>
      </c>
      <c r="BC17" s="30">
        <f>'Purchase August 2026'!AA34</f>
        <v>2591.91</v>
      </c>
      <c r="BD17" s="68">
        <f>('Purchase August 2026'!AB34)*1.1</f>
        <v>5702.2020000000002</v>
      </c>
      <c r="BF17" s="5"/>
      <c r="BG17" s="18"/>
      <c r="BH17" s="5"/>
      <c r="BI17" s="5"/>
      <c r="BJ17" s="19"/>
      <c r="BK17" s="19"/>
    </row>
    <row r="18" spans="2:63" ht="17.149999999999999" customHeight="1" x14ac:dyDescent="0.25">
      <c r="B18" s="67">
        <v>5</v>
      </c>
      <c r="C18" s="29" t="str">
        <f>'Purchase August 2026'!C18</f>
        <v>DSP Black Deluxe Whisky-PET 180MLx48P.Btls(0020)</v>
      </c>
      <c r="D18" s="28">
        <f>'Purchase August 2026'!D18</f>
        <v>2</v>
      </c>
      <c r="E18" s="28">
        <f>'Purchase August 2026'!E18</f>
        <v>0</v>
      </c>
      <c r="F18" s="30">
        <f>'Purchase August 2026'!F18</f>
        <v>8805.34</v>
      </c>
      <c r="G18" s="68">
        <f>('Purchase August 2026'!G18)*1.1</f>
        <v>19371.748000000003</v>
      </c>
      <c r="H18" s="19"/>
      <c r="I18" s="67">
        <v>5</v>
      </c>
      <c r="J18" s="29" t="str">
        <f>'Purchase August 2026'!C34</f>
        <v>Carlsberg Elephant Strong Super Premium Beer 650MLx12Btls(0205)</v>
      </c>
      <c r="K18" s="28">
        <f>'Purchase August 2026'!D34</f>
        <v>2</v>
      </c>
      <c r="L18" s="28">
        <f>'Purchase August 2026'!E34</f>
        <v>0</v>
      </c>
      <c r="M18" s="30">
        <f>'Purchase August 2026'!F34</f>
        <v>2591.91</v>
      </c>
      <c r="N18" s="68">
        <f>('Purchase August 2026'!G34)*1.1</f>
        <v>5702.2020000000002</v>
      </c>
      <c r="P18" s="67">
        <v>5</v>
      </c>
      <c r="Q18" s="29" t="str">
        <f>'Purchase August 2026'!J18</f>
        <v>Black &amp; White Blended Scotch Whisky-PET 180MLx48P.Btls(0020)</v>
      </c>
      <c r="R18" s="28">
        <f>'Purchase August 2026'!K18</f>
        <v>0</v>
      </c>
      <c r="S18" s="28">
        <f>'Purchase August 2026'!L18</f>
        <v>24</v>
      </c>
      <c r="T18" s="30">
        <f>'Purchase August 2026'!M18</f>
        <v>25154.37</v>
      </c>
      <c r="U18" s="68">
        <f>('Purchase August 2026'!N18)*1.1</f>
        <v>13834.909000000001</v>
      </c>
      <c r="V18" s="19"/>
      <c r="W18" s="67">
        <v>5</v>
      </c>
      <c r="X18" s="29" t="str">
        <f>'Purchase August 2026'!J34</f>
        <v>Smirnoff Orange Triple Distilled Vodka-PET 180MLx48P.Btls(0020)</v>
      </c>
      <c r="Y18" s="28">
        <f>'Purchase August 2026'!K34</f>
        <v>0</v>
      </c>
      <c r="Z18" s="28">
        <f>'Purchase August 2026'!L34</f>
        <v>12</v>
      </c>
      <c r="AA18" s="30">
        <f>'Purchase August 2026'!M34</f>
        <v>13903.17</v>
      </c>
      <c r="AB18" s="68">
        <f>('Purchase August 2026'!N34)*1.1</f>
        <v>3823.3690000000001</v>
      </c>
      <c r="AD18" s="67">
        <v>5</v>
      </c>
      <c r="AE18" s="29" t="str">
        <f>'Purchase August 2026'!Q18</f>
        <v>McDowell's No.1 Luxury Select Collection Whisky 750MLx12Btls(0524)</v>
      </c>
      <c r="AF18" s="28">
        <f>'Purchase August 2026'!R18</f>
        <v>2</v>
      </c>
      <c r="AG18" s="28">
        <f>'Purchase August 2026'!S18</f>
        <v>0</v>
      </c>
      <c r="AH18" s="30">
        <f>'Purchase August 2026'!T18</f>
        <v>9628.7000000000007</v>
      </c>
      <c r="AI18" s="68">
        <f>('Purchase August 2026'!U18)*1.1</f>
        <v>21183.140000000003</v>
      </c>
      <c r="AJ18" s="19"/>
      <c r="AK18" s="67">
        <v>5</v>
      </c>
      <c r="AL18" s="29" t="str">
        <f>'Purchase August 2026'!Q31</f>
        <v>Kingfisher Premium Lager Beer 330MLx24Btls(0206)</v>
      </c>
      <c r="AM18" s="28">
        <f>'Purchase August 2026'!R31</f>
        <v>1</v>
      </c>
      <c r="AN18" s="28">
        <f>'Purchase August 2026'!S31</f>
        <v>0</v>
      </c>
      <c r="AO18" s="30">
        <f>'Purchase August 2026'!T31</f>
        <v>1233.92</v>
      </c>
      <c r="AP18" s="68">
        <f>('Purchase August 2026'!U31)*1.1</f>
        <v>1357.3120000000001</v>
      </c>
      <c r="AR18" s="67">
        <v>5</v>
      </c>
      <c r="AS18" s="29" t="str">
        <f>'Purchase August 2026'!X18</f>
        <v>DSP Black Deluxe Whisky-PET 180MLx48P.Btls(0020)</v>
      </c>
      <c r="AT18" s="28">
        <f>'Purchase August 2026'!Y18</f>
        <v>2</v>
      </c>
      <c r="AU18" s="28">
        <f>'Purchase August 2026'!Z18</f>
        <v>0</v>
      </c>
      <c r="AV18" s="30">
        <f>'Purchase August 2026'!AA18</f>
        <v>8805.34</v>
      </c>
      <c r="AW18" s="68">
        <f>('Purchase August 2026'!AB18)*1.1</f>
        <v>19371.748000000003</v>
      </c>
      <c r="AX18" s="19"/>
      <c r="AY18" s="67">
        <v>5</v>
      </c>
      <c r="AZ18" s="29" t="str">
        <f>'Purchase August 2026'!X35</f>
        <v>Copenhagen Tuborg Strong Premium Beer 330MLx24Btls(0205)</v>
      </c>
      <c r="BA18" s="28">
        <f>'Purchase August 2026'!Y35</f>
        <v>2</v>
      </c>
      <c r="BB18" s="28">
        <f>'Purchase August 2026'!Z35</f>
        <v>0</v>
      </c>
      <c r="BC18" s="30">
        <f>'Purchase August 2026'!AA35</f>
        <v>2725.8</v>
      </c>
      <c r="BD18" s="68">
        <f>('Purchase August 2026'!AB35)*1.1</f>
        <v>5996.7600000000011</v>
      </c>
      <c r="BF18" s="5"/>
      <c r="BG18" s="18"/>
      <c r="BH18" s="5"/>
      <c r="BI18" s="5"/>
      <c r="BJ18" s="19"/>
      <c r="BK18" s="19"/>
    </row>
    <row r="19" spans="2:63" ht="17.149999999999999" customHeight="1" x14ac:dyDescent="0.25">
      <c r="B19" s="67">
        <v>6</v>
      </c>
      <c r="C19" s="29" t="str">
        <f>'Purchase August 2026'!C19</f>
        <v>Iconiq White Grand International Grain Whisky 180MLx48Btls(0608)</v>
      </c>
      <c r="D19" s="28">
        <f>'Purchase August 2026'!D19</f>
        <v>1</v>
      </c>
      <c r="E19" s="28">
        <f>'Purchase August 2026'!E19</f>
        <v>0</v>
      </c>
      <c r="F19" s="30">
        <f>'Purchase August 2026'!F19</f>
        <v>8726.82</v>
      </c>
      <c r="G19" s="68">
        <f>('Purchase August 2026'!G19)*1.1</f>
        <v>9599.5020000000004</v>
      </c>
      <c r="H19" s="19"/>
      <c r="I19" s="67">
        <v>6</v>
      </c>
      <c r="J19" s="29" t="str">
        <f>'Purchase August 2026'!C35</f>
        <v>Kingfisher Premium Lager Beer 330MLx24Btls(0206)</v>
      </c>
      <c r="K19" s="28">
        <f>'Purchase August 2026'!D35</f>
        <v>1</v>
      </c>
      <c r="L19" s="28">
        <f>'Purchase August 2026'!E35</f>
        <v>0</v>
      </c>
      <c r="M19" s="30">
        <f>'Purchase August 2026'!F35</f>
        <v>1233.92</v>
      </c>
      <c r="N19" s="68">
        <f>('Purchase August 2026'!G35)*1.1</f>
        <v>1357.3120000000001</v>
      </c>
      <c r="P19" s="67">
        <v>6</v>
      </c>
      <c r="Q19" s="29" t="str">
        <f>'Purchase August 2026'!J19</f>
        <v>Director's Special Whisky-Tetra Pack 180MLx48T.Packs(0524)</v>
      </c>
      <c r="R19" s="28">
        <f>'Purchase August 2026'!K19</f>
        <v>1</v>
      </c>
      <c r="S19" s="28">
        <f>'Purchase August 2026'!L19</f>
        <v>0</v>
      </c>
      <c r="T19" s="30">
        <f>'Purchase August 2026'!M19</f>
        <v>7156.97</v>
      </c>
      <c r="U19" s="68">
        <f>('Purchase August 2026'!N19)*1.1</f>
        <v>7872.6670000000013</v>
      </c>
      <c r="V19" s="19"/>
      <c r="W19" s="67">
        <v>6</v>
      </c>
      <c r="X19" s="29" t="str">
        <f>'Purchase August 2026'!J35</f>
        <v>Budweiser Magnum Beer 650MLx12Btls(0217)</v>
      </c>
      <c r="Y19" s="28">
        <f>'Purchase August 2026'!K35</f>
        <v>4</v>
      </c>
      <c r="Z19" s="28">
        <f>'Purchase August 2026'!L35</f>
        <v>0</v>
      </c>
      <c r="AA19" s="30">
        <f>'Purchase August 2026'!M35</f>
        <v>2727.19</v>
      </c>
      <c r="AB19" s="68">
        <f>('Purchase August 2026'!N35)*1.1</f>
        <v>11999.636</v>
      </c>
      <c r="AD19" s="67">
        <v>6</v>
      </c>
      <c r="AE19" s="29" t="str">
        <f>'Purchase August 2026'!Q19</f>
        <v>McDowell's No.1 Supreme Special Whisky Original 180MLx48Btls(0524)</v>
      </c>
      <c r="AF19" s="28">
        <f>'Purchase August 2026'!R19</f>
        <v>1</v>
      </c>
      <c r="AG19" s="28">
        <f>'Purchase August 2026'!S19</f>
        <v>0</v>
      </c>
      <c r="AH19" s="30">
        <f>'Purchase August 2026'!T19</f>
        <v>9295.7800000000007</v>
      </c>
      <c r="AI19" s="68">
        <f>('Purchase August 2026'!U19)*1.1</f>
        <v>10225.358000000002</v>
      </c>
      <c r="AJ19" s="19"/>
      <c r="AK19" s="67">
        <v>6</v>
      </c>
      <c r="AL19" s="29" t="str">
        <f>'Purchase August 2026'!Q32</f>
        <v>Kingfisher Premium Lager Beer 650MLx12Btls(0210)</v>
      </c>
      <c r="AM19" s="28">
        <f>'Purchase August 2026'!R32</f>
        <v>4</v>
      </c>
      <c r="AN19" s="28">
        <f>'Purchase August 2026'!S32</f>
        <v>0</v>
      </c>
      <c r="AO19" s="30">
        <f>'Purchase August 2026'!T32</f>
        <v>1187.75</v>
      </c>
      <c r="AP19" s="68">
        <f>('Purchase August 2026'!U32)*1.1</f>
        <v>5226.1000000000004</v>
      </c>
      <c r="AR19" s="67">
        <v>6</v>
      </c>
      <c r="AS19" s="29" t="str">
        <f>'Purchase August 2026'!X19</f>
        <v>McDowell's No.1 Luxury Select Collection Whisky 750MLx12Btls(0524)</v>
      </c>
      <c r="AT19" s="28">
        <f>'Purchase August 2026'!Y19</f>
        <v>3</v>
      </c>
      <c r="AU19" s="28">
        <f>'Purchase August 2026'!Z19</f>
        <v>0</v>
      </c>
      <c r="AV19" s="30">
        <f>'Purchase August 2026'!AA19</f>
        <v>9628.7000000000007</v>
      </c>
      <c r="AW19" s="68">
        <f>('Purchase August 2026'!AB19)*1.1</f>
        <v>31774.710000000003</v>
      </c>
      <c r="AX19" s="19"/>
      <c r="AY19" s="67">
        <v>6</v>
      </c>
      <c r="AZ19" s="29" t="str">
        <f>'Purchase August 2026'!X36</f>
        <v>Copenhagen Tuborg Strong Premium Beer 650MLx12Btls(0205)</v>
      </c>
      <c r="BA19" s="28">
        <f>'Purchase August 2026'!Y36</f>
        <v>10</v>
      </c>
      <c r="BB19" s="28">
        <f>'Purchase August 2026'!Z36</f>
        <v>0</v>
      </c>
      <c r="BC19" s="30">
        <f>'Purchase August 2026'!AA36</f>
        <v>1867.49</v>
      </c>
      <c r="BD19" s="68">
        <f>('Purchase August 2026'!AB36)*1.1</f>
        <v>20542.390000000003</v>
      </c>
      <c r="BF19" s="5"/>
      <c r="BG19" s="18"/>
      <c r="BH19" s="5"/>
      <c r="BI19" s="5"/>
      <c r="BJ19" s="19"/>
      <c r="BK19" s="19"/>
    </row>
    <row r="20" spans="2:63" ht="17.149999999999999" customHeight="1" x14ac:dyDescent="0.25">
      <c r="B20" s="67">
        <v>7</v>
      </c>
      <c r="C20" s="29" t="str">
        <f>'Purchase August 2026'!C20</f>
        <v>Mcdowell's No 1 Luxury Select Collection Whisky 180MLx48Btls(0020)</v>
      </c>
      <c r="D20" s="28">
        <f>'Purchase August 2026'!D20</f>
        <v>5</v>
      </c>
      <c r="E20" s="28">
        <f>'Purchase August 2026'!E20</f>
        <v>0</v>
      </c>
      <c r="F20" s="30">
        <f>'Purchase August 2026'!F20</f>
        <v>9295.7800000000007</v>
      </c>
      <c r="G20" s="68">
        <f>('Purchase August 2026'!G20)*1.1</f>
        <v>51126.790000000008</v>
      </c>
      <c r="H20" s="19"/>
      <c r="I20" s="67">
        <v>7</v>
      </c>
      <c r="J20" s="29" t="str">
        <f>'Purchase August 2026'!C36</f>
        <v>Kingfisher Premium Lager Beer 650MLx12Btls(0210)</v>
      </c>
      <c r="K20" s="28">
        <f>'Purchase August 2026'!D36</f>
        <v>5</v>
      </c>
      <c r="L20" s="28">
        <f>'Purchase August 2026'!E36</f>
        <v>0</v>
      </c>
      <c r="M20" s="30">
        <f>'Purchase August 2026'!F36</f>
        <v>1187.75</v>
      </c>
      <c r="N20" s="68">
        <f>('Purchase August 2026'!G36)*1.1</f>
        <v>6532.6250000000009</v>
      </c>
      <c r="P20" s="67">
        <v>7</v>
      </c>
      <c r="Q20" s="29" t="str">
        <f>'Purchase August 2026'!J20</f>
        <v>McDowell's No.1 Luxury Select Collection Whisky 750MLx12Btls(0524)</v>
      </c>
      <c r="R20" s="28">
        <f>'Purchase August 2026'!K20</f>
        <v>1</v>
      </c>
      <c r="S20" s="28">
        <f>'Purchase August 2026'!L20</f>
        <v>0</v>
      </c>
      <c r="T20" s="30">
        <f>'Purchase August 2026'!M20</f>
        <v>9628.7000000000007</v>
      </c>
      <c r="U20" s="68">
        <f>('Purchase August 2026'!N20)*1.1</f>
        <v>10591.570000000002</v>
      </c>
      <c r="V20" s="19"/>
      <c r="W20" s="67">
        <v>7</v>
      </c>
      <c r="X20" s="29" t="str">
        <f>'Purchase August 2026'!J36</f>
        <v>Budweiser Magnum Premium Superior Beer 650MLx12Btls(0217)</v>
      </c>
      <c r="Y20" s="28">
        <f>'Purchase August 2026'!K36</f>
        <v>3</v>
      </c>
      <c r="Z20" s="28">
        <f>'Purchase August 2026'!L36</f>
        <v>0</v>
      </c>
      <c r="AA20" s="30">
        <f>'Purchase August 2026'!M36</f>
        <v>2727.27</v>
      </c>
      <c r="AB20" s="68">
        <f>('Purchase August 2026'!N36)*1.1</f>
        <v>8999.9910000000018</v>
      </c>
      <c r="AD20" s="67">
        <v>7</v>
      </c>
      <c r="AE20" s="29" t="str">
        <f>'Purchase August 2026'!Q20</f>
        <v>Officer's Choice Special Whisky-ASEPTIC BRICK PACK 180MLx48ABP(0608)</v>
      </c>
      <c r="AF20" s="28">
        <f>'Purchase August 2026'!R20</f>
        <v>1</v>
      </c>
      <c r="AG20" s="28">
        <f>'Purchase August 2026'!S20</f>
        <v>0</v>
      </c>
      <c r="AH20" s="30">
        <f>'Purchase August 2026'!T20</f>
        <v>7179.32</v>
      </c>
      <c r="AI20" s="68">
        <f>('Purchase August 2026'!U20)*1.1</f>
        <v>7897.2520000000004</v>
      </c>
      <c r="AJ20" s="19"/>
      <c r="AK20" s="67">
        <v>7</v>
      </c>
      <c r="AL20" s="29" t="str">
        <f>'Purchase August 2026'!Q33</f>
        <v>Kingfisher Strong Premium Beer 330MLx24Btls(0206)</v>
      </c>
      <c r="AM20" s="28">
        <f>'Purchase August 2026'!R33</f>
        <v>1</v>
      </c>
      <c r="AN20" s="28">
        <f>'Purchase August 2026'!S33</f>
        <v>0</v>
      </c>
      <c r="AO20" s="30">
        <f>'Purchase August 2026'!T33</f>
        <v>2093.9699999999998</v>
      </c>
      <c r="AP20" s="68">
        <f>('Purchase August 2026'!U33)*1.1</f>
        <v>2303.3670000000002</v>
      </c>
      <c r="AR20" s="67">
        <v>7</v>
      </c>
      <c r="AS20" s="29" t="str">
        <f>'Purchase August 2026'!X20</f>
        <v>McDowell's No.1 Supreme Special Whisky Original 180MLx48Btls(0524)</v>
      </c>
      <c r="AT20" s="28">
        <f>'Purchase August 2026'!Y20</f>
        <v>2</v>
      </c>
      <c r="AU20" s="28">
        <f>'Purchase August 2026'!Z20</f>
        <v>0</v>
      </c>
      <c r="AV20" s="30">
        <f>'Purchase August 2026'!AA20</f>
        <v>9295.7800000000007</v>
      </c>
      <c r="AW20" s="68">
        <f>('Purchase August 2026'!AB20)*1.1</f>
        <v>20450.716000000004</v>
      </c>
      <c r="AX20" s="19"/>
      <c r="AY20" s="67">
        <v>7</v>
      </c>
      <c r="AZ20" s="29" t="str">
        <f>'Purchase August 2026'!X37</f>
        <v>Corona Extra Premium Beer 330MLx24Btls(0254)</v>
      </c>
      <c r="BA20" s="28">
        <f>'Purchase August 2026'!Y37</f>
        <v>1</v>
      </c>
      <c r="BB20" s="28">
        <f>'Purchase August 2026'!Z37</f>
        <v>0</v>
      </c>
      <c r="BC20" s="30">
        <f>'Purchase August 2026'!AA37</f>
        <v>2756.72</v>
      </c>
      <c r="BD20" s="68">
        <f>('Purchase August 2026'!AB37)*1.1</f>
        <v>3032.3919999999998</v>
      </c>
      <c r="BF20" s="5"/>
      <c r="BG20" s="18"/>
      <c r="BH20" s="5"/>
      <c r="BI20" s="5"/>
      <c r="BJ20" s="19"/>
      <c r="BK20" s="19"/>
    </row>
    <row r="21" spans="2:63" ht="17.149999999999999" customHeight="1" x14ac:dyDescent="0.25">
      <c r="B21" s="67">
        <v>8</v>
      </c>
      <c r="C21" s="29" t="str">
        <f>'Purchase August 2026'!C21</f>
        <v>Officer's Choice Special Whisky-PET 750MLx12P.Btls(0608)</v>
      </c>
      <c r="D21" s="28">
        <f>'Purchase August 2026'!D21</f>
        <v>1</v>
      </c>
      <c r="E21" s="28">
        <f>'Purchase August 2026'!E21</f>
        <v>0</v>
      </c>
      <c r="F21" s="30">
        <f>'Purchase August 2026'!F21</f>
        <v>7447.05</v>
      </c>
      <c r="G21" s="68">
        <f>('Purchase August 2026'!G21)*1.1</f>
        <v>8191.755000000001</v>
      </c>
      <c r="H21" s="19"/>
      <c r="I21" s="67">
        <v>8</v>
      </c>
      <c r="J21" s="29" t="str">
        <f>'Purchase August 2026'!C37</f>
        <v>Kingfisher Strong Premium Beer 330MLx24Btls(0206)</v>
      </c>
      <c r="K21" s="28">
        <f>'Purchase August 2026'!D37</f>
        <v>1</v>
      </c>
      <c r="L21" s="28">
        <f>'Purchase August 2026'!E37</f>
        <v>0</v>
      </c>
      <c r="M21" s="30">
        <f>'Purchase August 2026'!F37</f>
        <v>2093.9699999999998</v>
      </c>
      <c r="N21" s="68">
        <f>('Purchase August 2026'!G37)*1.1</f>
        <v>2303.3670000000002</v>
      </c>
      <c r="P21" s="67">
        <v>8</v>
      </c>
      <c r="Q21" s="29" t="str">
        <f>'Purchase August 2026'!J21</f>
        <v>McDowell's No.1 Supreme Special Whisky Original 180MLx48Btls(0524)</v>
      </c>
      <c r="R21" s="28">
        <f>'Purchase August 2026'!K21</f>
        <v>1</v>
      </c>
      <c r="S21" s="28">
        <f>'Purchase August 2026'!L21</f>
        <v>0</v>
      </c>
      <c r="T21" s="30">
        <f>'Purchase August 2026'!M21</f>
        <v>9295.7800000000007</v>
      </c>
      <c r="U21" s="68">
        <f>('Purchase August 2026'!N21)*1.1</f>
        <v>10225.358000000002</v>
      </c>
      <c r="V21" s="19"/>
      <c r="W21" s="67">
        <v>8</v>
      </c>
      <c r="X21" s="29" t="str">
        <f>'Purchase August 2026'!J37</f>
        <v>Copenhagen Tuborg Strong Premium Beer 330MLx24Btls(0205)</v>
      </c>
      <c r="Y21" s="28">
        <f>'Purchase August 2026'!K37</f>
        <v>2</v>
      </c>
      <c r="Z21" s="28">
        <f>'Purchase August 2026'!L37</f>
        <v>0</v>
      </c>
      <c r="AA21" s="30">
        <f>'Purchase August 2026'!M37</f>
        <v>2725.8</v>
      </c>
      <c r="AB21" s="68">
        <f>('Purchase August 2026'!N37)*1.1</f>
        <v>5996.7600000000011</v>
      </c>
      <c r="AD21" s="67">
        <v>8</v>
      </c>
      <c r="AE21" s="29" t="str">
        <f>'Purchase August 2026'!Q21</f>
        <v>Officer's Choice Special Whisky-PET 750MLx12P.Btls(0608)</v>
      </c>
      <c r="AF21" s="28">
        <f>'Purchase August 2026'!R21</f>
        <v>1</v>
      </c>
      <c r="AG21" s="28">
        <f>'Purchase August 2026'!S21</f>
        <v>0</v>
      </c>
      <c r="AH21" s="30">
        <f>'Purchase August 2026'!T21</f>
        <v>7447.05</v>
      </c>
      <c r="AI21" s="68">
        <f>('Purchase August 2026'!U21)*1.1</f>
        <v>8191.755000000001</v>
      </c>
      <c r="AJ21" s="19"/>
      <c r="AK21" s="67">
        <v>8</v>
      </c>
      <c r="AL21" s="29" t="str">
        <f>'Purchase August 2026'!Q34</f>
        <v>Kingfisher Strong Premium Beer 650MLx12Btls(0210)</v>
      </c>
      <c r="AM21" s="28">
        <f>'Purchase August 2026'!R34</f>
        <v>5</v>
      </c>
      <c r="AN21" s="28">
        <f>'Purchase August 2026'!S34</f>
        <v>0</v>
      </c>
      <c r="AO21" s="30">
        <f>'Purchase August 2026'!T34</f>
        <v>1953.04</v>
      </c>
      <c r="AP21" s="68">
        <f>('Purchase August 2026'!U34)*1.1</f>
        <v>10741.720000000001</v>
      </c>
      <c r="AR21" s="67">
        <v>8</v>
      </c>
      <c r="AS21" s="29" t="str">
        <f>'Purchase August 2026'!X21</f>
        <v>Officer's Choice Special Whisky-Aseptic Brick Pack 180MLx48ABP(0608)</v>
      </c>
      <c r="AT21" s="28">
        <f>'Purchase August 2026'!Y21</f>
        <v>1</v>
      </c>
      <c r="AU21" s="28">
        <f>'Purchase August 2026'!Z21</f>
        <v>0</v>
      </c>
      <c r="AV21" s="30">
        <f>'Purchase August 2026'!AA21</f>
        <v>7179.32</v>
      </c>
      <c r="AW21" s="68">
        <f>('Purchase August 2026'!AB21)*1.1</f>
        <v>7897.2520000000004</v>
      </c>
      <c r="AX21" s="19"/>
      <c r="AY21" s="67">
        <v>8</v>
      </c>
      <c r="AZ21" s="29" t="str">
        <f>'Purchase August 2026'!X38</f>
        <v>Heineken Silver 100% Malt Lager Beer 650MLx12Btls(0210)</v>
      </c>
      <c r="BA21" s="28">
        <f>'Purchase August 2026'!Y38</f>
        <v>1</v>
      </c>
      <c r="BB21" s="28">
        <f>'Purchase August 2026'!Z38</f>
        <v>0</v>
      </c>
      <c r="BC21" s="30">
        <f>'Purchase August 2026'!AA38</f>
        <v>2118.9899999999998</v>
      </c>
      <c r="BD21" s="68">
        <f>('Purchase August 2026'!AB38)*1.1</f>
        <v>2330.8890000000001</v>
      </c>
      <c r="BF21" s="25"/>
      <c r="BG21" s="89"/>
      <c r="BH21" s="89"/>
      <c r="BI21" s="89"/>
      <c r="BJ21" s="90"/>
      <c r="BK21" s="92"/>
    </row>
    <row r="22" spans="2:63" ht="17.149999999999999" customHeight="1" x14ac:dyDescent="0.25">
      <c r="B22" s="67">
        <v>9</v>
      </c>
      <c r="C22" s="29" t="str">
        <f>'Purchase August 2026'!C22</f>
        <v>Seagram's Imperial Blue Select Batch Grain Whisky 180MLx48Btls(0601)</v>
      </c>
      <c r="D22" s="28">
        <f>'Purchase August 2026'!D22</f>
        <v>2</v>
      </c>
      <c r="E22" s="28">
        <f>'Purchase August 2026'!E22</f>
        <v>0</v>
      </c>
      <c r="F22" s="30">
        <f>'Purchase August 2026'!F22</f>
        <v>8726.82</v>
      </c>
      <c r="G22" s="68">
        <f>('Purchase August 2026'!G22)*1.1</f>
        <v>19199.004000000001</v>
      </c>
      <c r="H22" s="19"/>
      <c r="I22" s="67">
        <v>9</v>
      </c>
      <c r="J22" s="29" t="str">
        <f>'Purchase August 2026'!C38</f>
        <v>Kingfisher Strong Premium Beer 650MLx12Btls(0210)</v>
      </c>
      <c r="K22" s="28">
        <f>'Purchase August 2026'!D38</f>
        <v>5</v>
      </c>
      <c r="L22" s="28">
        <f>'Purchase August 2026'!E38</f>
        <v>0</v>
      </c>
      <c r="M22" s="30">
        <f>'Purchase August 2026'!F38</f>
        <v>1953.04</v>
      </c>
      <c r="N22" s="68">
        <f>('Purchase August 2026'!G38)*1.1</f>
        <v>10741.720000000001</v>
      </c>
      <c r="P22" s="67">
        <v>9</v>
      </c>
      <c r="Q22" s="29" t="str">
        <f>'Purchase August 2026'!J22</f>
        <v>Officer's Choice Special Whisky-Aseptic Brick Pack 180MLx48ABP(0608)</v>
      </c>
      <c r="R22" s="28">
        <f>'Purchase August 2026'!K22</f>
        <v>1</v>
      </c>
      <c r="S22" s="28">
        <f>'Purchase August 2026'!L22</f>
        <v>0</v>
      </c>
      <c r="T22" s="30">
        <f>'Purchase August 2026'!M22</f>
        <v>7179.32</v>
      </c>
      <c r="U22" s="68">
        <f>('Purchase August 2026'!N22)*1.1</f>
        <v>7897.2520000000004</v>
      </c>
      <c r="V22" s="19"/>
      <c r="W22" s="67">
        <v>9</v>
      </c>
      <c r="X22" s="29" t="str">
        <f>'Purchase August 2026'!J38</f>
        <v>Copenhagen Tuborg Strong Premium Beer 650MLx12Btls(0205)</v>
      </c>
      <c r="Y22" s="28">
        <f>'Purchase August 2026'!K38</f>
        <v>10</v>
      </c>
      <c r="Z22" s="28">
        <f>'Purchase August 2026'!L38</f>
        <v>0</v>
      </c>
      <c r="AA22" s="30">
        <f>'Purchase August 2026'!M38</f>
        <v>1867.49</v>
      </c>
      <c r="AB22" s="68">
        <f>('Purchase August 2026'!N38)*1.1</f>
        <v>20542.390000000003</v>
      </c>
      <c r="AD22" s="67">
        <v>9</v>
      </c>
      <c r="AE22" s="29" t="str">
        <f>'Purchase August 2026'!Q22</f>
        <v>SEAGRAM'S IMPERIAL BLUE SELECT BATCH GRAIN WHISKY 180MLx48Btls(0601)</v>
      </c>
      <c r="AF22" s="28">
        <f>'Purchase August 2026'!R22</f>
        <v>2</v>
      </c>
      <c r="AG22" s="28">
        <f>'Purchase August 2026'!S22</f>
        <v>0</v>
      </c>
      <c r="AH22" s="30">
        <f>'Purchase August 2026'!T22</f>
        <v>8726.82</v>
      </c>
      <c r="AI22" s="68">
        <f>('Purchase August 2026'!U22)*1.1</f>
        <v>19199.004000000001</v>
      </c>
      <c r="AJ22" s="19"/>
      <c r="AK22" s="67">
        <v>9</v>
      </c>
      <c r="AL22" s="29" t="str">
        <f>'Purchase August 2026'!Q35</f>
        <v>UB Export Premium Lager Beer 330MLx24Btls(0206)</v>
      </c>
      <c r="AM22" s="28">
        <f>'Purchase August 2026'!R35</f>
        <v>1</v>
      </c>
      <c r="AN22" s="28">
        <f>'Purchase August 2026'!S35</f>
        <v>0</v>
      </c>
      <c r="AO22" s="30">
        <f>'Purchase August 2026'!T35</f>
        <v>1636.01</v>
      </c>
      <c r="AP22" s="68">
        <f>('Purchase August 2026'!U35)*1.1</f>
        <v>1799.6110000000001</v>
      </c>
      <c r="AR22" s="67">
        <v>9</v>
      </c>
      <c r="AS22" s="29" t="str">
        <f>'Purchase August 2026'!X22</f>
        <v>Royal Challenge Premium Select Whisky-PET 180MLx48P.Btls(0020)</v>
      </c>
      <c r="AT22" s="28">
        <f>'Purchase August 2026'!Y22</f>
        <v>1</v>
      </c>
      <c r="AU22" s="28">
        <f>'Purchase August 2026'!Z22</f>
        <v>0</v>
      </c>
      <c r="AV22" s="30">
        <f>'Purchase August 2026'!AA22</f>
        <v>12215.05</v>
      </c>
      <c r="AW22" s="68">
        <f>('Purchase August 2026'!AB22)*1.1</f>
        <v>13436.555</v>
      </c>
      <c r="AX22" s="19"/>
      <c r="AY22" s="67">
        <v>9</v>
      </c>
      <c r="AZ22" s="29" t="str">
        <f>'Purchase August 2026'!X39</f>
        <v>Kingfisher Premium Lager Beer 330MLx24Btls(0206)</v>
      </c>
      <c r="BA22" s="28">
        <f>'Purchase August 2026'!Y39</f>
        <v>1</v>
      </c>
      <c r="BB22" s="28">
        <f>'Purchase August 2026'!Z39</f>
        <v>0</v>
      </c>
      <c r="BC22" s="30">
        <f>'Purchase August 2026'!AA39</f>
        <v>1233.92</v>
      </c>
      <c r="BD22" s="68">
        <f>('Purchase August 2026'!AB39)*1.1</f>
        <v>1357.3120000000001</v>
      </c>
      <c r="BF22" s="25"/>
      <c r="BG22" s="25"/>
      <c r="BH22" s="25"/>
      <c r="BI22" s="25"/>
      <c r="BJ22" s="25"/>
      <c r="BK22" s="25"/>
    </row>
    <row r="23" spans="2:63" ht="17.149999999999999" customHeight="1" x14ac:dyDescent="0.25">
      <c r="B23" s="67">
        <v>10</v>
      </c>
      <c r="C23" s="29" t="str">
        <f>'Purchase August 2026'!C23</f>
        <v>Seagram's Imperial Blue Select Batch Grain Whisky 750MLx12Btls(0601)</v>
      </c>
      <c r="D23" s="28">
        <f>'Purchase August 2026'!D23</f>
        <v>1</v>
      </c>
      <c r="E23" s="28">
        <f>'Purchase August 2026'!E23</f>
        <v>0</v>
      </c>
      <c r="F23" s="30">
        <f>'Purchase August 2026'!F23</f>
        <v>9085.2000000000007</v>
      </c>
      <c r="G23" s="68">
        <f>('Purchase August 2026'!G23)*1.1</f>
        <v>9993.7200000000012</v>
      </c>
      <c r="H23" s="19"/>
      <c r="I23" s="67">
        <v>10</v>
      </c>
      <c r="J23" s="29" t="str">
        <f>'Purchase August 2026'!C39</f>
        <v>Kingfisher Ultra Lager Beer 650MLx12Btls(0210)</v>
      </c>
      <c r="K23" s="28">
        <f>'Purchase August 2026'!D39</f>
        <v>3</v>
      </c>
      <c r="L23" s="28">
        <f>'Purchase August 2026'!E39</f>
        <v>0</v>
      </c>
      <c r="M23" s="30">
        <f>'Purchase August 2026'!F39</f>
        <v>1636.34</v>
      </c>
      <c r="N23" s="68">
        <f>('Purchase August 2026'!G39)*1.1</f>
        <v>5399.9220000000005</v>
      </c>
      <c r="P23" s="67">
        <v>10</v>
      </c>
      <c r="Q23" s="29" t="str">
        <f>'Purchase August 2026'!J23</f>
        <v>Seagram's Imperial Blue Select Batch Grain Whisky 180MLx48Btls(0601)</v>
      </c>
      <c r="R23" s="28">
        <f>'Purchase August 2026'!K23</f>
        <v>2</v>
      </c>
      <c r="S23" s="28">
        <f>'Purchase August 2026'!L23</f>
        <v>0</v>
      </c>
      <c r="T23" s="30">
        <f>'Purchase August 2026'!M23</f>
        <v>8726.82</v>
      </c>
      <c r="U23" s="68">
        <f>('Purchase August 2026'!N23)*1.1</f>
        <v>19199.004000000001</v>
      </c>
      <c r="V23" s="19"/>
      <c r="W23" s="67">
        <v>10</v>
      </c>
      <c r="X23" s="29" t="str">
        <f>'Purchase August 2026'!J39</f>
        <v>Kingfisher Premium Lager Beer 330MLx24Btls(0206)</v>
      </c>
      <c r="Y23" s="28">
        <f>'Purchase August 2026'!K39</f>
        <v>1</v>
      </c>
      <c r="Z23" s="28">
        <f>'Purchase August 2026'!L39</f>
        <v>0</v>
      </c>
      <c r="AA23" s="30">
        <f>'Purchase August 2026'!M39</f>
        <v>1233.92</v>
      </c>
      <c r="AB23" s="68">
        <f>('Purchase August 2026'!N39)*1.1</f>
        <v>1357.3120000000001</v>
      </c>
      <c r="AD23" s="67">
        <v>10</v>
      </c>
      <c r="AE23" s="29" t="str">
        <f>'Purchase August 2026'!Q23</f>
        <v>Seagram's Blenders Pride Rare Premium Whisky 180ML(0091)</v>
      </c>
      <c r="AF23" s="28">
        <f>'Purchase August 2026'!R23</f>
        <v>2</v>
      </c>
      <c r="AG23" s="28">
        <f>'Purchase August 2026'!S23</f>
        <v>0</v>
      </c>
      <c r="AH23" s="30">
        <f>'Purchase August 2026'!T23</f>
        <v>15054.42</v>
      </c>
      <c r="AI23" s="68">
        <f>('Purchase August 2026'!U23)*1.1</f>
        <v>33119.724000000002</v>
      </c>
      <c r="AJ23" s="19"/>
      <c r="AK23" s="67">
        <v>10</v>
      </c>
      <c r="AL23" s="29" t="str">
        <f>'Purchase August 2026'!Q36</f>
        <v>UB Export Premium Lager Beer 650MLx12Btls(0210)</v>
      </c>
      <c r="AM23" s="28">
        <f>'Purchase August 2026'!R36</f>
        <v>1</v>
      </c>
      <c r="AN23" s="28">
        <f>'Purchase August 2026'!S36</f>
        <v>0</v>
      </c>
      <c r="AO23" s="30">
        <f>'Purchase August 2026'!T36</f>
        <v>1472.7</v>
      </c>
      <c r="AP23" s="68">
        <f>('Purchase August 2026'!U36)*1.1</f>
        <v>1619.9700000000003</v>
      </c>
      <c r="AR23" s="67">
        <v>10</v>
      </c>
      <c r="AS23" s="29" t="str">
        <f>'Purchase August 2026'!X23</f>
        <v>Seagram's Imperial Blue Select Batch Grain Whisky 180MLx48Btls(0601)</v>
      </c>
      <c r="AT23" s="28">
        <f>'Purchase August 2026'!Y23</f>
        <v>4</v>
      </c>
      <c r="AU23" s="28">
        <f>'Purchase August 2026'!Z23</f>
        <v>0</v>
      </c>
      <c r="AV23" s="30">
        <f>'Purchase August 2026'!AA23</f>
        <v>8726.82</v>
      </c>
      <c r="AW23" s="68">
        <f>('Purchase August 2026'!AB23)*1.1</f>
        <v>38398.008000000002</v>
      </c>
      <c r="AX23" s="19"/>
      <c r="AY23" s="67">
        <v>10</v>
      </c>
      <c r="AZ23" s="29" t="str">
        <f>'Purchase August 2026'!X40</f>
        <v>Kingfisher Premium Lager Beer 650MLx12Btls(0210)</v>
      </c>
      <c r="BA23" s="28">
        <f>'Purchase August 2026'!Y40</f>
        <v>4</v>
      </c>
      <c r="BB23" s="28">
        <f>'Purchase August 2026'!Z40</f>
        <v>0</v>
      </c>
      <c r="BC23" s="30">
        <f>'Purchase August 2026'!AA40</f>
        <v>1187.75</v>
      </c>
      <c r="BD23" s="68">
        <f>('Purchase August 2026'!AB40)*1.1</f>
        <v>5226.1000000000004</v>
      </c>
      <c r="BF23" s="25"/>
      <c r="BG23" s="25"/>
      <c r="BH23" s="25"/>
      <c r="BI23" s="25"/>
      <c r="BJ23" s="25"/>
      <c r="BK23" s="54"/>
    </row>
    <row r="24" spans="2:63" ht="17.149999999999999" customHeight="1" x14ac:dyDescent="0.25">
      <c r="B24" s="67">
        <v>11</v>
      </c>
      <c r="C24" s="29" t="str">
        <f>'Purchase August 2026'!C24</f>
        <v>Seagram's 100 Pipers Deluxe Blended Scotch Whisky 180ML(0091)</v>
      </c>
      <c r="D24" s="28">
        <f>'Purchase August 2026'!D24</f>
        <v>0</v>
      </c>
      <c r="E24" s="28">
        <f>'Purchase August 2026'!E24</f>
        <v>12</v>
      </c>
      <c r="F24" s="30">
        <f>'Purchase August 2026'!F24</f>
        <v>25308.14</v>
      </c>
      <c r="G24" s="68">
        <f>('Purchase August 2026'!G24)*1.1</f>
        <v>6959.7440000000006</v>
      </c>
      <c r="H24" s="19"/>
      <c r="I24" s="67">
        <v>11</v>
      </c>
      <c r="J24" s="29" t="str">
        <f>'Purchase August 2026'!C40</f>
        <v>Kingfisher Ultra Max Premium Strong Beer 650MLx12Btls(0210)</v>
      </c>
      <c r="K24" s="28">
        <f>'Purchase August 2026'!D40</f>
        <v>3</v>
      </c>
      <c r="L24" s="28">
        <f>'Purchase August 2026'!E40</f>
        <v>0</v>
      </c>
      <c r="M24" s="30">
        <f>'Purchase August 2026'!F40</f>
        <v>2672.71</v>
      </c>
      <c r="N24" s="68">
        <f>('Purchase August 2026'!G40)*1.1</f>
        <v>8819.9430000000011</v>
      </c>
      <c r="P24" s="67">
        <v>11</v>
      </c>
      <c r="Q24" s="29" t="str">
        <f>'Purchase August 2026'!J24</f>
        <v>Seagram's Imperial Blue Select Batch Grain Whisky 750MLx12Btls(0601)</v>
      </c>
      <c r="R24" s="28">
        <f>'Purchase August 2026'!K24</f>
        <v>1</v>
      </c>
      <c r="S24" s="28">
        <f>'Purchase August 2026'!L24</f>
        <v>0</v>
      </c>
      <c r="T24" s="30">
        <f>'Purchase August 2026'!M24</f>
        <v>9085.2000000000007</v>
      </c>
      <c r="U24" s="68">
        <f>('Purchase August 2026'!N24)*1.1</f>
        <v>9993.7200000000012</v>
      </c>
      <c r="V24" s="19"/>
      <c r="W24" s="67">
        <v>11</v>
      </c>
      <c r="X24" s="29" t="str">
        <f>'Purchase August 2026'!J40</f>
        <v>Kingfisher Premium Lager Beer 650MLx12Btls(0210)</v>
      </c>
      <c r="Y24" s="28">
        <f>'Purchase August 2026'!K40</f>
        <v>4</v>
      </c>
      <c r="Z24" s="28">
        <f>'Purchase August 2026'!L40</f>
        <v>0</v>
      </c>
      <c r="AA24" s="30">
        <f>'Purchase August 2026'!M40</f>
        <v>1187.75</v>
      </c>
      <c r="AB24" s="68">
        <f>('Purchase August 2026'!N40)*1.1</f>
        <v>5226.1000000000004</v>
      </c>
      <c r="AD24" s="67">
        <v>11</v>
      </c>
      <c r="AE24" s="29" t="str">
        <f>'Purchase August 2026'!Q24</f>
        <v>Seagram's Blenders Pride Rare Premium Whisky 750ML(0091)</v>
      </c>
      <c r="AF24" s="28">
        <f>'Purchase August 2026'!R24</f>
        <v>0</v>
      </c>
      <c r="AG24" s="28">
        <f>'Purchase August 2026'!S24</f>
        <v>7</v>
      </c>
      <c r="AH24" s="30">
        <f>'Purchase August 2026'!T24</f>
        <v>14508.28</v>
      </c>
      <c r="AI24" s="68">
        <f>('Purchase August 2026'!U24)*1.1</f>
        <v>9309.4760000000006</v>
      </c>
      <c r="AJ24" s="19"/>
      <c r="AK24" s="67">
        <v>11</v>
      </c>
      <c r="AL24" s="29" t="str">
        <f>'Purchase August 2026'!Q37</f>
        <v>UB Export Strong Premium Beer 330MLx24Btls(0206)</v>
      </c>
      <c r="AM24" s="28">
        <f>'Purchase August 2026'!R37</f>
        <v>1</v>
      </c>
      <c r="AN24" s="28">
        <f>'Purchase August 2026'!S37</f>
        <v>0</v>
      </c>
      <c r="AO24" s="30">
        <f>'Purchase August 2026'!T37</f>
        <v>2017.56</v>
      </c>
      <c r="AP24" s="68">
        <f>('Purchase August 2026'!U37)*1.1</f>
        <v>2219.3160000000003</v>
      </c>
      <c r="AR24" s="67">
        <v>11</v>
      </c>
      <c r="AS24" s="29" t="str">
        <f>'Purchase August 2026'!X24</f>
        <v>Seagram's Imperial Blue Select Batch Grain Whisky 750MLx12Btls(0601)</v>
      </c>
      <c r="AT24" s="28">
        <f>'Purchase August 2026'!Y24</f>
        <v>1</v>
      </c>
      <c r="AU24" s="28">
        <f>'Purchase August 2026'!Z24</f>
        <v>0</v>
      </c>
      <c r="AV24" s="30">
        <f>'Purchase August 2026'!AA24</f>
        <v>9085.2000000000007</v>
      </c>
      <c r="AW24" s="68">
        <f>('Purchase August 2026'!AB24)*1.1</f>
        <v>9993.7200000000012</v>
      </c>
      <c r="AX24" s="19"/>
      <c r="AY24" s="67">
        <v>11</v>
      </c>
      <c r="AZ24" s="29" t="str">
        <f>'Purchase August 2026'!X41</f>
        <v>Kingfisher Strong Premium Beer 330MLx24Btls(0206)</v>
      </c>
      <c r="BA24" s="28">
        <f>'Purchase August 2026'!Y41</f>
        <v>1</v>
      </c>
      <c r="BB24" s="28">
        <f>'Purchase August 2026'!Z41</f>
        <v>0</v>
      </c>
      <c r="BC24" s="30">
        <f>'Purchase August 2026'!AA41</f>
        <v>2093.9699999999998</v>
      </c>
      <c r="BD24" s="68">
        <f>('Purchase August 2026'!AB41)*1.1</f>
        <v>2303.3670000000002</v>
      </c>
      <c r="BF24" s="25"/>
      <c r="BG24" s="25"/>
      <c r="BH24" s="25"/>
      <c r="BI24" s="25"/>
      <c r="BJ24" s="25"/>
      <c r="BK24" s="54"/>
    </row>
    <row r="25" spans="2:63" ht="17.149999999999999" customHeight="1" x14ac:dyDescent="0.25">
      <c r="B25" s="67">
        <v>12</v>
      </c>
      <c r="C25" s="29" t="str">
        <f>'Purchase August 2026'!C25</f>
        <v>Seagram's Blenders Pride Rare Premium Whisky 180ML(0091)</v>
      </c>
      <c r="D25" s="28">
        <f>'Purchase August 2026'!D25</f>
        <v>2</v>
      </c>
      <c r="E25" s="28">
        <f>'Purchase August 2026'!E25</f>
        <v>0</v>
      </c>
      <c r="F25" s="30">
        <f>'Purchase August 2026'!F25</f>
        <v>15054.42</v>
      </c>
      <c r="G25" s="68">
        <f>('Purchase August 2026'!G25)*1.1</f>
        <v>33119.724000000002</v>
      </c>
      <c r="H25" s="19"/>
      <c r="I25" s="67">
        <v>12</v>
      </c>
      <c r="J25" s="29" t="str">
        <f>'Purchase August 2026'!C41</f>
        <v>Tuborg Strong Premium Beer 650MLx12Btls(0205)</v>
      </c>
      <c r="K25" s="28">
        <f>'Purchase August 2026'!D41</f>
        <v>10</v>
      </c>
      <c r="L25" s="28">
        <f>'Purchase August 2026'!E41</f>
        <v>0</v>
      </c>
      <c r="M25" s="30">
        <f>'Purchase August 2026'!F41</f>
        <v>1809.6</v>
      </c>
      <c r="N25" s="68">
        <f>('Purchase August 2026'!G41)*1.1</f>
        <v>19905.600000000002</v>
      </c>
      <c r="P25" s="67">
        <v>12</v>
      </c>
      <c r="Q25" s="29" t="str">
        <f>'Purchase August 2026'!J25</f>
        <v>Seagram's 100 Pipers Deluxe Blended Scotch Whisky 750ML(0091)</v>
      </c>
      <c r="R25" s="28">
        <f>'Purchase August 2026'!K25</f>
        <v>0</v>
      </c>
      <c r="S25" s="28">
        <f>'Purchase August 2026'!L25</f>
        <v>3</v>
      </c>
      <c r="T25" s="30">
        <f>'Purchase August 2026'!M25</f>
        <v>25882.17</v>
      </c>
      <c r="U25" s="68">
        <f>('Purchase August 2026'!N25)*1.1</f>
        <v>7117.594000000001</v>
      </c>
      <c r="V25" s="19"/>
      <c r="W25" s="67">
        <v>12</v>
      </c>
      <c r="X25" s="29" t="str">
        <f>'Purchase August 2026'!J41</f>
        <v>Kingfisher Strong Premium Beer 330MLx24Btls(0206)</v>
      </c>
      <c r="Y25" s="28">
        <f>'Purchase August 2026'!K41</f>
        <v>1</v>
      </c>
      <c r="Z25" s="28">
        <f>'Purchase August 2026'!L41</f>
        <v>0</v>
      </c>
      <c r="AA25" s="30">
        <f>'Purchase August 2026'!M41</f>
        <v>2093.9699999999998</v>
      </c>
      <c r="AB25" s="68">
        <f>('Purchase August 2026'!N41)*1.1</f>
        <v>2303.3670000000002</v>
      </c>
      <c r="AD25" s="67">
        <v>12</v>
      </c>
      <c r="AE25" s="29" t="str">
        <f>'Purchase August 2026'!Q25</f>
        <v>Seagram's Royal Stag Deluxe Whisky 180ML(0091)</v>
      </c>
      <c r="AF25" s="28">
        <f>'Purchase August 2026'!R25</f>
        <v>1</v>
      </c>
      <c r="AG25" s="28">
        <f>'Purchase August 2026'!S25</f>
        <v>0</v>
      </c>
      <c r="AH25" s="30">
        <f>'Purchase August 2026'!T25</f>
        <v>12028.12</v>
      </c>
      <c r="AI25" s="68">
        <f>('Purchase August 2026'!U25)*1.1</f>
        <v>13230.932000000003</v>
      </c>
      <c r="AJ25" s="19"/>
      <c r="AK25" s="67">
        <v>12</v>
      </c>
      <c r="AL25" s="29" t="str">
        <f>'Purchase August 2026'!Q38</f>
        <v>UB Export Strong Premium Beer 650MLx12Btls(0210)</v>
      </c>
      <c r="AM25" s="28">
        <f>'Purchase August 2026'!R38</f>
        <v>6</v>
      </c>
      <c r="AN25" s="28">
        <f>'Purchase August 2026'!S38</f>
        <v>0</v>
      </c>
      <c r="AO25" s="30">
        <f>'Purchase August 2026'!T38</f>
        <v>1455.84</v>
      </c>
      <c r="AP25" s="68">
        <f>('Purchase August 2026'!U38)*1.1</f>
        <v>9608.5440000000017</v>
      </c>
      <c r="AR25" s="67">
        <v>12</v>
      </c>
      <c r="AS25" s="29" t="str">
        <f>'Purchase August 2026'!X25</f>
        <v>Seagram's 100 Pipers Deluxe Blended Scotch Whisky 180ML(0091)</v>
      </c>
      <c r="AT25" s="28">
        <f>'Purchase August 2026'!Y25</f>
        <v>0</v>
      </c>
      <c r="AU25" s="28">
        <f>'Purchase August 2026'!Z25</f>
        <v>24</v>
      </c>
      <c r="AV25" s="30">
        <f>'Purchase August 2026'!AA25</f>
        <v>25308.14</v>
      </c>
      <c r="AW25" s="68">
        <f>('Purchase August 2026'!AB25)*1.1</f>
        <v>13919.477000000001</v>
      </c>
      <c r="AX25" s="19"/>
      <c r="AY25" s="67">
        <v>12</v>
      </c>
      <c r="AZ25" s="29" t="str">
        <f>'Purchase August 2026'!X42</f>
        <v>Kingfisher Strong Premium Beer 650MLx12Btls(0210)</v>
      </c>
      <c r="BA25" s="28">
        <f>'Purchase August 2026'!Y42</f>
        <v>8</v>
      </c>
      <c r="BB25" s="28">
        <f>'Purchase August 2026'!Z42</f>
        <v>0</v>
      </c>
      <c r="BC25" s="30">
        <f>'Purchase August 2026'!AA42</f>
        <v>1953.04</v>
      </c>
      <c r="BD25" s="68">
        <f>('Purchase August 2026'!AB42)*1.1</f>
        <v>17186.752</v>
      </c>
      <c r="BF25" s="25"/>
      <c r="BG25" s="25"/>
      <c r="BH25" s="25"/>
      <c r="BI25" s="25"/>
      <c r="BJ25" s="25"/>
      <c r="BK25" s="25"/>
    </row>
    <row r="26" spans="2:63" ht="17.149999999999999" customHeight="1" thickBot="1" x14ac:dyDescent="0.3">
      <c r="B26" s="67">
        <v>13</v>
      </c>
      <c r="C26" s="29" t="str">
        <f>'Purchase August 2026'!C26</f>
        <v>Seagram's Blenders Pride Rare Premium Whisky 750ML(0091)</v>
      </c>
      <c r="D26" s="28">
        <f>'Purchase August 2026'!D26</f>
        <v>0</v>
      </c>
      <c r="E26" s="28">
        <f>'Purchase August 2026'!E26</f>
        <v>6</v>
      </c>
      <c r="F26" s="30">
        <f>'Purchase August 2026'!F26</f>
        <v>14508.28</v>
      </c>
      <c r="G26" s="68">
        <f>('Purchase August 2026'!G26)*1.1</f>
        <v>7979.554000000001</v>
      </c>
      <c r="H26" s="19"/>
      <c r="I26" s="67">
        <v>13</v>
      </c>
      <c r="J26" s="29" t="str">
        <f>'Purchase August 2026'!C42</f>
        <v>UB Export Strong Premium Beer 330MLx24Btls(0206)</v>
      </c>
      <c r="K26" s="28">
        <f>'Purchase August 2026'!D42</f>
        <v>1</v>
      </c>
      <c r="L26" s="28">
        <f>'Purchase August 2026'!E42</f>
        <v>0</v>
      </c>
      <c r="M26" s="30">
        <f>'Purchase August 2026'!F42</f>
        <v>2017.56</v>
      </c>
      <c r="N26" s="68">
        <f>('Purchase August 2026'!G42)*1.1</f>
        <v>2219.3160000000003</v>
      </c>
      <c r="P26" s="67">
        <v>13</v>
      </c>
      <c r="Q26" s="29" t="str">
        <f>'Purchase August 2026'!J26</f>
        <v>Seagram's Blenders Pride Rare Premium Whisky 750ML(0091)</v>
      </c>
      <c r="R26" s="28">
        <f>'Purchase August 2026'!K26</f>
        <v>0</v>
      </c>
      <c r="S26" s="28">
        <f>'Purchase August 2026'!L26</f>
        <v>6</v>
      </c>
      <c r="T26" s="30">
        <f>'Purchase August 2026'!M26</f>
        <v>14508.28</v>
      </c>
      <c r="U26" s="68">
        <f>('Purchase August 2026'!N26)*1.1</f>
        <v>7979.554000000001</v>
      </c>
      <c r="V26" s="19"/>
      <c r="W26" s="67">
        <v>13</v>
      </c>
      <c r="X26" s="29" t="str">
        <f>'Purchase August 2026'!J42</f>
        <v>Kingfisher Ultra Max Premium Strong Beer 650MLx12Btls(0210)</v>
      </c>
      <c r="Y26" s="28">
        <f>'Purchase August 2026'!K42</f>
        <v>1</v>
      </c>
      <c r="Z26" s="28">
        <f>'Purchase August 2026'!L42</f>
        <v>0</v>
      </c>
      <c r="AA26" s="30">
        <f>'Purchase August 2026'!M42</f>
        <v>2672.71</v>
      </c>
      <c r="AB26" s="68">
        <f>('Purchase August 2026'!N42)*1.1</f>
        <v>2939.9810000000002</v>
      </c>
      <c r="AD26" s="67">
        <v>13</v>
      </c>
      <c r="AE26" s="29" t="str">
        <f>'Purchase August 2026'!Q26</f>
        <v>Old Monk Very Old Vatted Special XXX Rum-Aseptic Brick Pack 180MLx48ABP(0532)</v>
      </c>
      <c r="AF26" s="28">
        <f>'Purchase August 2026'!R26</f>
        <v>1</v>
      </c>
      <c r="AG26" s="28">
        <f>'Purchase August 2026'!S26</f>
        <v>0</v>
      </c>
      <c r="AH26" s="30">
        <f>'Purchase August 2026'!T26</f>
        <v>7629.11</v>
      </c>
      <c r="AI26" s="68">
        <f>('Purchase August 2026'!U26)*1.1</f>
        <v>8392.0210000000006</v>
      </c>
      <c r="AJ26" s="19"/>
      <c r="AK26" s="67">
        <v>13</v>
      </c>
      <c r="AL26" s="29" t="str">
        <f>'Purchase August 2026'!Q39</f>
        <v>Budweiser Magnum Premium Superior Beer-CAN 330MLx24Cans(0217)</v>
      </c>
      <c r="AM26" s="28">
        <f>'Purchase August 2026'!R39</f>
        <v>1</v>
      </c>
      <c r="AN26" s="28">
        <f>'Purchase August 2026'!S39</f>
        <v>0</v>
      </c>
      <c r="AO26" s="30">
        <f>'Purchase August 2026'!T39</f>
        <v>2181.8200000000002</v>
      </c>
      <c r="AP26" s="68">
        <f>('Purchase August 2026'!U39)*1.1</f>
        <v>2400.0020000000004</v>
      </c>
      <c r="AR26" s="67">
        <v>13</v>
      </c>
      <c r="AS26" s="29" t="str">
        <f>'Purchase August 2026'!X26</f>
        <v>Seagram's Blenders Pride Rare Premium Whisky 180ML(0091)</v>
      </c>
      <c r="AT26" s="28">
        <f>'Purchase August 2026'!Y26</f>
        <v>1</v>
      </c>
      <c r="AU26" s="28">
        <f>'Purchase August 2026'!Z26</f>
        <v>0</v>
      </c>
      <c r="AV26" s="30">
        <f>'Purchase August 2026'!AA26</f>
        <v>15054.42</v>
      </c>
      <c r="AW26" s="68">
        <f>('Purchase August 2026'!AB26)*1.1</f>
        <v>16559.862000000001</v>
      </c>
      <c r="AX26" s="19"/>
      <c r="AY26" s="67">
        <v>13</v>
      </c>
      <c r="AZ26" s="29" t="str">
        <f>'Purchase August 2026'!X43</f>
        <v>Kingfisher Ultra Max Premium Strong Beer 650MLx12Btls(0210)</v>
      </c>
      <c r="BA26" s="28">
        <f>'Purchase August 2026'!Y43</f>
        <v>1</v>
      </c>
      <c r="BB26" s="28">
        <f>'Purchase August 2026'!Z43</f>
        <v>0</v>
      </c>
      <c r="BC26" s="30">
        <f>'Purchase August 2026'!AA43</f>
        <v>2672.71</v>
      </c>
      <c r="BD26" s="68">
        <f>('Purchase August 2026'!AB43)*1.1</f>
        <v>2939.9810000000002</v>
      </c>
      <c r="BF26" s="25"/>
      <c r="BG26" s="25"/>
      <c r="BH26" s="25"/>
      <c r="BI26" s="25"/>
      <c r="BJ26" s="25"/>
      <c r="BK26" s="25"/>
    </row>
    <row r="27" spans="2:63" ht="17.149999999999999" customHeight="1" thickBot="1" x14ac:dyDescent="0.3">
      <c r="B27" s="67">
        <v>14</v>
      </c>
      <c r="C27" s="29" t="str">
        <f>'Purchase August 2026'!C27</f>
        <v>Seagram's Royal Stag Deluxe Whisky 180ML(0091)</v>
      </c>
      <c r="D27" s="28">
        <f>'Purchase August 2026'!D27</f>
        <v>1</v>
      </c>
      <c r="E27" s="28">
        <f>'Purchase August 2026'!E27</f>
        <v>0</v>
      </c>
      <c r="F27" s="30">
        <f>'Purchase August 2026'!F27</f>
        <v>12028.12</v>
      </c>
      <c r="G27" s="68">
        <f>('Purchase August 2026'!G27)*1.1</f>
        <v>13230.932000000003</v>
      </c>
      <c r="H27" s="19"/>
      <c r="I27" s="67">
        <v>14</v>
      </c>
      <c r="J27" s="29" t="str">
        <f>'Purchase August 2026'!C43</f>
        <v>UB Export Strong Premium Beer 650MLx12Btls(0206)</v>
      </c>
      <c r="K27" s="28">
        <f>'Purchase August 2026'!D43</f>
        <v>10</v>
      </c>
      <c r="L27" s="28">
        <f>'Purchase August 2026'!E43</f>
        <v>0</v>
      </c>
      <c r="M27" s="30">
        <f>'Purchase August 2026'!F43</f>
        <v>1455.84</v>
      </c>
      <c r="N27" s="68">
        <f>('Purchase August 2026'!G43)*1.1</f>
        <v>16014.240000000002</v>
      </c>
      <c r="P27" s="83">
        <v>14</v>
      </c>
      <c r="Q27" s="33" t="str">
        <f>'Purchase August 2026'!J27</f>
        <v>Seagram's Royal Stag Deluxe Whisky 180ML(0091)</v>
      </c>
      <c r="R27" s="32">
        <f>'Purchase August 2026'!K27</f>
        <v>1</v>
      </c>
      <c r="S27" s="32">
        <f>'Purchase August 2026'!L27</f>
        <v>0</v>
      </c>
      <c r="T27" s="34">
        <f>'Purchase August 2026'!M27</f>
        <v>12028.12</v>
      </c>
      <c r="U27" s="68">
        <f>('Purchase August 2026'!N27)*1.1</f>
        <v>13230.932000000003</v>
      </c>
      <c r="V27" s="19"/>
      <c r="W27" s="67">
        <v>14</v>
      </c>
      <c r="X27" s="29" t="str">
        <f>'Purchase August 2026'!J43</f>
        <v>UB Export Strong Premium Beer 330MLx24Btls(0206)</v>
      </c>
      <c r="Y27" s="28">
        <f>'Purchase August 2026'!K43</f>
        <v>1</v>
      </c>
      <c r="Z27" s="28">
        <f>'Purchase August 2026'!L43</f>
        <v>0</v>
      </c>
      <c r="AA27" s="30">
        <f>'Purchase August 2026'!M43</f>
        <v>2017.56</v>
      </c>
      <c r="AB27" s="68">
        <f>('Purchase August 2026'!N43)*1.1</f>
        <v>2219.3160000000003</v>
      </c>
      <c r="AD27" s="23"/>
      <c r="AE27" s="35" t="s">
        <v>41</v>
      </c>
      <c r="AF27" s="36">
        <f>SUM(AF14:AF26)</f>
        <v>16</v>
      </c>
      <c r="AG27" s="36">
        <f>SUM(AG14:AG26)</f>
        <v>7</v>
      </c>
      <c r="AH27" s="24"/>
      <c r="AI27" s="37">
        <f>SUM(AI14:AI26)</f>
        <v>173109.10100000002</v>
      </c>
      <c r="AJ27" s="19"/>
      <c r="AK27" s="67">
        <v>14</v>
      </c>
      <c r="AL27" s="29" t="str">
        <f>'Purchase August 2026'!Q40</f>
        <v>Budweiser Premium King of Beers-CAN 500MLx24Cans(0217)</v>
      </c>
      <c r="AM27" s="28">
        <f>'Purchase August 2026'!R40</f>
        <v>1</v>
      </c>
      <c r="AN27" s="28">
        <f>'Purchase August 2026'!S40</f>
        <v>0</v>
      </c>
      <c r="AO27" s="30">
        <f>'Purchase August 2026'!T40</f>
        <v>3439.88</v>
      </c>
      <c r="AP27" s="68">
        <f>('Purchase August 2026'!U40)*1.1</f>
        <v>3783.8680000000004</v>
      </c>
      <c r="AR27" s="83">
        <v>14</v>
      </c>
      <c r="AS27" s="33" t="str">
        <f>'Purchase August 2026'!X27</f>
        <v>Seagram's Royal Stag Deluxe Whisky 180ML(0091)</v>
      </c>
      <c r="AT27" s="32">
        <f>'Purchase August 2026'!Y27</f>
        <v>1</v>
      </c>
      <c r="AU27" s="32">
        <f>'Purchase August 2026'!Z27</f>
        <v>0</v>
      </c>
      <c r="AV27" s="34">
        <f>'Purchase August 2026'!AA27</f>
        <v>12028.12</v>
      </c>
      <c r="AW27" s="68">
        <f>('Purchase August 2026'!AB27)*1.1</f>
        <v>13230.932000000003</v>
      </c>
      <c r="AX27" s="19"/>
      <c r="AY27" s="67">
        <v>14</v>
      </c>
      <c r="AZ27" s="29" t="str">
        <f>'Purchase August 2026'!X44</f>
        <v>UB Export Strong Premium Beer 330MLx24Btls(0206)</v>
      </c>
      <c r="BA27" s="28">
        <f>'Purchase August 2026'!Y44</f>
        <v>1</v>
      </c>
      <c r="BB27" s="28">
        <f>'Purchase August 2026'!Z44</f>
        <v>0</v>
      </c>
      <c r="BC27" s="30">
        <f>'Purchase August 2026'!AA44</f>
        <v>2017.56</v>
      </c>
      <c r="BD27" s="68">
        <f>('Purchase August 2026'!AB44)*1.1</f>
        <v>2219.3160000000003</v>
      </c>
    </row>
    <row r="28" spans="2:63" ht="17.149999999999999" customHeight="1" thickBot="1" x14ac:dyDescent="0.3">
      <c r="B28" s="67">
        <v>15</v>
      </c>
      <c r="C28" s="29" t="str">
        <f>'Purchase August 2026'!C28</f>
        <v>Seagram's Royal Stag Deluxe Whisky 750ML(0091)</v>
      </c>
      <c r="D28" s="28">
        <f>'Purchase August 2026'!D28</f>
        <v>0</v>
      </c>
      <c r="E28" s="28">
        <f>'Purchase August 2026'!E28</f>
        <v>6</v>
      </c>
      <c r="F28" s="30">
        <f>'Purchase August 2026'!F28</f>
        <v>12453.96</v>
      </c>
      <c r="G28" s="68">
        <f>('Purchase August 2026'!G28)*1.1</f>
        <v>6849.6779999999999</v>
      </c>
      <c r="H28" s="19"/>
      <c r="I28" s="67">
        <v>15</v>
      </c>
      <c r="J28" s="29" t="str">
        <f>'Purchase August 2026'!C44</f>
        <v>Budweiser Magnum Beer-CAN 500MLx24Cans(0217)</v>
      </c>
      <c r="K28" s="28">
        <f>'Purchase August 2026'!D44</f>
        <v>1</v>
      </c>
      <c r="L28" s="28">
        <f>'Purchase August 2026'!E44</f>
        <v>0</v>
      </c>
      <c r="M28" s="30">
        <f>'Purchase August 2026'!F44</f>
        <v>4279.99</v>
      </c>
      <c r="N28" s="68">
        <f>('Purchase August 2026'!G44)*1.1</f>
        <v>4707.9890000000005</v>
      </c>
      <c r="P28" s="83">
        <v>15</v>
      </c>
      <c r="Q28" s="33" t="str">
        <f>'Purchase August 2026'!J28</f>
        <v>Seagram's Royal Stag Deluxe Whisky 750ML(0091)</v>
      </c>
      <c r="R28" s="32">
        <f>'Purchase August 2026'!K28</f>
        <v>0</v>
      </c>
      <c r="S28" s="32">
        <f>'Purchase August 2026'!L28</f>
        <v>6</v>
      </c>
      <c r="T28" s="38">
        <f>'Purchase August 2026'!M28</f>
        <v>12453.96</v>
      </c>
      <c r="U28" s="84">
        <f>('Purchase August 2026'!N28)*1.1</f>
        <v>6849.6779999999999</v>
      </c>
      <c r="V28" s="19"/>
      <c r="W28" s="85">
        <v>15</v>
      </c>
      <c r="X28" s="56" t="str">
        <f>'Purchase August 2026'!J44</f>
        <v>UB Export Strong Premium Beer 650MLx12Btls(0210)</v>
      </c>
      <c r="Y28" s="55">
        <f>'Purchase August 2026'!K44</f>
        <v>10</v>
      </c>
      <c r="Z28" s="55">
        <f>'Purchase August 2026'!L44</f>
        <v>0</v>
      </c>
      <c r="AA28" s="62">
        <f>'Purchase August 2026'!M44</f>
        <v>1455.84</v>
      </c>
      <c r="AB28" s="87">
        <f>('Purchase August 2026'!N44)*1.1</f>
        <v>16014.240000000002</v>
      </c>
      <c r="AD28" s="25"/>
      <c r="AE28" s="25"/>
      <c r="AF28" s="25"/>
      <c r="AG28" s="25"/>
      <c r="AH28" s="25"/>
      <c r="AI28" s="25"/>
      <c r="AJ28" s="19"/>
      <c r="AK28" s="13"/>
      <c r="AL28" s="88" t="s">
        <v>41</v>
      </c>
      <c r="AM28" s="73">
        <f>SUM(AM14:AM27)</f>
        <v>34</v>
      </c>
      <c r="AN28" s="73">
        <f>SUM(AN14:AN27)</f>
        <v>24</v>
      </c>
      <c r="AO28" s="14"/>
      <c r="AP28" s="39">
        <f>SUM(AP14:AP27)</f>
        <v>75528.409</v>
      </c>
      <c r="AR28" s="83">
        <v>15</v>
      </c>
      <c r="AS28" s="33" t="str">
        <f>'Purchase August 2026'!X28</f>
        <v>TI Mansion House Premium French Brandy 180MLx48Btls(0542)</v>
      </c>
      <c r="AT28" s="32">
        <f>'Purchase August 2026'!Y28</f>
        <v>1</v>
      </c>
      <c r="AU28" s="32">
        <f>'Purchase August 2026'!Z28</f>
        <v>0</v>
      </c>
      <c r="AV28" s="38">
        <f>'Purchase August 2026'!AA28</f>
        <v>8774.0499999999993</v>
      </c>
      <c r="AW28" s="84">
        <f>('Purchase August 2026'!AB28)*1.1</f>
        <v>9651.4549999999999</v>
      </c>
      <c r="AX28" s="19"/>
      <c r="AY28" s="83">
        <v>15</v>
      </c>
      <c r="AZ28" s="33" t="str">
        <f>'Purchase August 2026'!X45</f>
        <v>UB Export Strong Premium Beer 650MLx12Btls(0210)</v>
      </c>
      <c r="BA28" s="32">
        <f>'Purchase August 2026'!Y45</f>
        <v>10</v>
      </c>
      <c r="BB28" s="32">
        <f>'Purchase August 2026'!Z45</f>
        <v>0</v>
      </c>
      <c r="BC28" s="34">
        <f>'Purchase August 2026'!AA45</f>
        <v>1455.84</v>
      </c>
      <c r="BD28" s="68">
        <f>('Purchase August 2026'!AB45)*1.1</f>
        <v>16014.240000000002</v>
      </c>
    </row>
    <row r="29" spans="2:63" ht="17.149999999999999" customHeight="1" thickBot="1" x14ac:dyDescent="0.3">
      <c r="B29" s="67">
        <v>16</v>
      </c>
      <c r="C29" s="29" t="str">
        <f>'Purchase August 2026'!C29</f>
        <v>Signature Rare Aged Whisky 750ml(0020)</v>
      </c>
      <c r="D29" s="28">
        <f>'Purchase August 2026'!D29</f>
        <v>0</v>
      </c>
      <c r="E29" s="28">
        <f>'Purchase August 2026'!E29</f>
        <v>3</v>
      </c>
      <c r="F29" s="30">
        <f>'Purchase August 2026'!F29</f>
        <v>14467.88</v>
      </c>
      <c r="G29" s="68">
        <f>('Purchase August 2026'!G29)*1.1</f>
        <v>3978.6669999999999</v>
      </c>
      <c r="H29" s="19"/>
      <c r="I29" s="67">
        <v>16</v>
      </c>
      <c r="J29" s="29" t="str">
        <f>'Purchase August 2026'!C45</f>
        <v>Budweiser Premium King of Beers-CAN 500MLx24Cans(0217)</v>
      </c>
      <c r="K29" s="28">
        <f>'Purchase August 2026'!D45</f>
        <v>1</v>
      </c>
      <c r="L29" s="28">
        <f>'Purchase August 2026'!E45</f>
        <v>0</v>
      </c>
      <c r="M29" s="30">
        <f>'Purchase August 2026'!F45</f>
        <v>3439.88</v>
      </c>
      <c r="N29" s="68">
        <f>('Purchase August 2026'!G45)*1.1</f>
        <v>3783.8680000000004</v>
      </c>
      <c r="P29" s="85">
        <v>16</v>
      </c>
      <c r="Q29" s="56" t="str">
        <f>'Purchase August 2026'!J29</f>
        <v>TI Mansion House Premium French Brandy 180MLx48Btls(0542)</v>
      </c>
      <c r="R29" s="55">
        <f>'Purchase August 2026'!K29</f>
        <v>1</v>
      </c>
      <c r="S29" s="55">
        <f>'Purchase August 2026'!L29</f>
        <v>0</v>
      </c>
      <c r="T29" s="57">
        <f>'Purchase August 2026'!M29</f>
        <v>8774.0499999999993</v>
      </c>
      <c r="U29" s="86">
        <f>('Purchase August 2026'!N29)*1.1</f>
        <v>9651.4549999999999</v>
      </c>
      <c r="V29" s="19"/>
      <c r="W29" s="58"/>
      <c r="X29" s="59" t="s">
        <v>41</v>
      </c>
      <c r="Y29" s="60">
        <f>SUM(Y14:Y28)</f>
        <v>40</v>
      </c>
      <c r="Z29" s="60">
        <f>SUM(Z14:Z28)</f>
        <v>15</v>
      </c>
      <c r="AA29" s="58"/>
      <c r="AB29" s="61">
        <f>SUM(AB14:AB28)</f>
        <v>110089.26500000003</v>
      </c>
      <c r="AD29" s="25"/>
      <c r="AE29" s="25"/>
      <c r="AF29" s="25"/>
      <c r="AG29" s="25"/>
      <c r="AH29" s="25"/>
      <c r="AI29" s="54"/>
      <c r="AJ29" s="19"/>
      <c r="AK29" s="5"/>
      <c r="AL29" s="18"/>
      <c r="AM29" s="5"/>
      <c r="AN29" s="5"/>
      <c r="AO29" s="19"/>
      <c r="AP29" s="19"/>
      <c r="AR29" s="83">
        <v>16</v>
      </c>
      <c r="AS29" s="33" t="str">
        <f>'Purchase August 2026'!X29</f>
        <v>TI Mansion House Premium French Brandy 750MLx12Btls(0542)</v>
      </c>
      <c r="AT29" s="32">
        <f>'Purchase August 2026'!Y29</f>
        <v>1</v>
      </c>
      <c r="AU29" s="32">
        <f>'Purchase August 2026'!Z29</f>
        <v>0</v>
      </c>
      <c r="AV29" s="38">
        <f>'Purchase August 2026'!AA29</f>
        <v>9085.2000000000007</v>
      </c>
      <c r="AW29" s="84">
        <f>('Purchase August 2026'!AB29)*1.1</f>
        <v>9993.7200000000012</v>
      </c>
      <c r="AX29" s="19"/>
      <c r="AY29" s="85">
        <v>16</v>
      </c>
      <c r="AZ29" s="56" t="str">
        <f>'Purchase August 2026'!X46</f>
        <v>Budweiser Magnum Beer-CAN 500MLx24Cans(0217)</v>
      </c>
      <c r="BA29" s="55">
        <f>'Purchase August 2026'!Y46</f>
        <v>1</v>
      </c>
      <c r="BB29" s="55">
        <f>'Purchase August 2026'!Z46</f>
        <v>0</v>
      </c>
      <c r="BC29" s="57">
        <f>'Purchase August 2026'!AA46</f>
        <v>4279.99</v>
      </c>
      <c r="BD29" s="86">
        <f>('Purchase August 2026'!AB46)*1.1</f>
        <v>4707.9890000000005</v>
      </c>
    </row>
    <row r="30" spans="2:63" ht="17.149999999999999" customHeight="1" thickBot="1" x14ac:dyDescent="0.3">
      <c r="B30" s="23"/>
      <c r="C30" s="35" t="s">
        <v>41</v>
      </c>
      <c r="D30" s="36">
        <f>SUM(D14:D29)</f>
        <v>17</v>
      </c>
      <c r="E30" s="36">
        <f>SUM(E14:E29)</f>
        <v>75</v>
      </c>
      <c r="F30" s="24"/>
      <c r="G30" s="39">
        <f>SUM(G14:G29)</f>
        <v>211674.70499999999</v>
      </c>
      <c r="H30" s="19"/>
      <c r="I30" s="23"/>
      <c r="J30" s="35" t="s">
        <v>41</v>
      </c>
      <c r="K30" s="36">
        <f>SUM(K14:K29)</f>
        <v>46</v>
      </c>
      <c r="L30" s="36">
        <f>SUM(L14:L29)</f>
        <v>6</v>
      </c>
      <c r="M30" s="24"/>
      <c r="N30" s="39">
        <f>SUM(N14:N29)</f>
        <v>109071.08300000003</v>
      </c>
      <c r="P30" s="58"/>
      <c r="Q30" s="59" t="s">
        <v>41</v>
      </c>
      <c r="R30" s="60">
        <f>SUM(R14:R29)</f>
        <v>12</v>
      </c>
      <c r="S30" s="60">
        <f>SUM(S14:S29)</f>
        <v>42</v>
      </c>
      <c r="T30" s="58"/>
      <c r="U30" s="61">
        <f>SUM(U14:U29)</f>
        <v>144846.16299999997</v>
      </c>
      <c r="V30" s="19"/>
      <c r="W30" s="25"/>
      <c r="X30" s="25"/>
      <c r="Y30" s="25"/>
      <c r="Z30" s="25"/>
      <c r="AA30" s="25"/>
      <c r="AB30" s="54"/>
      <c r="AD30" s="25"/>
      <c r="AE30" s="25"/>
      <c r="AF30" s="25"/>
      <c r="AG30" s="25"/>
      <c r="AH30" s="25"/>
      <c r="AI30" s="54"/>
      <c r="AJ30" s="19"/>
      <c r="AK30" s="25"/>
      <c r="AL30" s="89"/>
      <c r="AM30" s="89"/>
      <c r="AN30" s="89"/>
      <c r="AO30" s="90"/>
      <c r="AP30" s="91"/>
      <c r="AR30" s="85">
        <v>17</v>
      </c>
      <c r="AS30" s="56" t="str">
        <f>'Purchase August 2026'!X30</f>
        <v>Hercules Old Matured Deluxe 3x Rum 750Ml(0003)</v>
      </c>
      <c r="AT30" s="55">
        <f>'Purchase August 2026'!Y30</f>
        <v>0</v>
      </c>
      <c r="AU30" s="55">
        <f>'Purchase August 2026'!Z30</f>
        <v>6</v>
      </c>
      <c r="AV30" s="57">
        <f>'Purchase August 2026'!AA30</f>
        <v>12635.87</v>
      </c>
      <c r="AW30" s="86">
        <f>('Purchase August 2026'!AB30)*1.1</f>
        <v>6949.7340000000004</v>
      </c>
      <c r="AX30" s="19"/>
      <c r="AY30" s="58"/>
      <c r="AZ30" s="59" t="s">
        <v>41</v>
      </c>
      <c r="BA30" s="60">
        <f>SUM(BA14:BA29)</f>
        <v>49</v>
      </c>
      <c r="BB30" s="60">
        <f>SUM(BB14:BB29)</f>
        <v>0</v>
      </c>
      <c r="BC30" s="58"/>
      <c r="BD30" s="61">
        <f>SUM(BD14:BD29)</f>
        <v>119089.76200000005</v>
      </c>
    </row>
    <row r="31" spans="2:63" ht="17.149999999999999" customHeight="1" thickBot="1" x14ac:dyDescent="0.3">
      <c r="B31" s="53"/>
      <c r="C31" s="53"/>
      <c r="D31" s="53"/>
      <c r="E31" s="53"/>
      <c r="F31" s="53"/>
      <c r="G31" s="53"/>
      <c r="H31" s="19"/>
      <c r="I31" s="25"/>
      <c r="J31" s="25"/>
      <c r="K31" s="25"/>
      <c r="L31" s="25"/>
      <c r="M31" s="25"/>
      <c r="N31" s="25"/>
      <c r="P31" s="25"/>
      <c r="Q31" s="25"/>
      <c r="R31" s="25"/>
      <c r="S31" s="25"/>
      <c r="T31" s="25"/>
      <c r="U31" s="25"/>
      <c r="V31" s="19"/>
      <c r="W31" s="25"/>
      <c r="X31" s="25"/>
      <c r="Y31" s="25"/>
      <c r="Z31" s="25"/>
      <c r="AA31" s="25"/>
      <c r="AB31" s="54"/>
      <c r="AD31" s="25"/>
      <c r="AE31" s="25"/>
      <c r="AF31" s="25"/>
      <c r="AG31" s="25"/>
      <c r="AH31" s="25"/>
      <c r="AI31" s="25"/>
      <c r="AJ31" s="19"/>
      <c r="AK31" s="25"/>
      <c r="AL31" s="25"/>
      <c r="AM31" s="25"/>
      <c r="AN31" s="25"/>
      <c r="AO31" s="25"/>
      <c r="AP31" s="25"/>
      <c r="AR31" s="58"/>
      <c r="AS31" s="59" t="s">
        <v>41</v>
      </c>
      <c r="AT31" s="60">
        <f>SUM(AT14:AT30)</f>
        <v>21</v>
      </c>
      <c r="AU31" s="60">
        <f>SUM(AU14:AU30)</f>
        <v>57</v>
      </c>
      <c r="AV31" s="58"/>
      <c r="AW31" s="61">
        <f>SUM(AW14:AW30)</f>
        <v>255073.17</v>
      </c>
      <c r="AX31" s="19"/>
      <c r="AY31" s="53"/>
      <c r="AZ31" s="53"/>
      <c r="BA31" s="53"/>
      <c r="BB31" s="53"/>
      <c r="BC31" s="53"/>
      <c r="BD31" s="63"/>
    </row>
    <row r="32" spans="2:63" ht="17.149999999999999" customHeight="1" x14ac:dyDescent="0.25">
      <c r="B32" s="25"/>
      <c r="C32" s="25"/>
      <c r="D32" s="25"/>
      <c r="E32" s="25"/>
      <c r="F32" s="25"/>
      <c r="G32" s="54"/>
      <c r="H32" s="19"/>
      <c r="I32" s="25"/>
      <c r="J32" s="25"/>
      <c r="K32" s="25"/>
      <c r="L32" s="25"/>
      <c r="M32" s="25"/>
      <c r="N32" s="54"/>
      <c r="P32" s="25"/>
      <c r="Q32" s="25"/>
      <c r="R32" s="25"/>
      <c r="S32" s="25"/>
      <c r="T32" s="25"/>
      <c r="U32" s="25"/>
      <c r="V32" s="19"/>
      <c r="W32" s="25"/>
      <c r="X32" s="25"/>
      <c r="Y32" s="25"/>
      <c r="Z32" s="25"/>
      <c r="AA32" s="25"/>
      <c r="AB32" s="25"/>
      <c r="AD32" s="25"/>
      <c r="AE32" s="25"/>
      <c r="AF32" s="25"/>
      <c r="AG32" s="25"/>
      <c r="AH32" s="25"/>
      <c r="AI32" s="25"/>
      <c r="AJ32" s="19"/>
      <c r="AK32" s="25"/>
      <c r="AL32" s="25"/>
      <c r="AM32" s="25"/>
      <c r="AN32" s="25"/>
      <c r="AO32" s="25"/>
      <c r="AP32" s="54"/>
      <c r="AR32" s="53"/>
      <c r="AS32" s="53"/>
      <c r="AT32" s="53"/>
      <c r="AU32" s="53"/>
      <c r="AV32" s="53"/>
      <c r="AW32" s="53"/>
      <c r="AX32" s="19"/>
      <c r="AY32" s="25"/>
      <c r="AZ32" s="25"/>
      <c r="BA32" s="25"/>
      <c r="BB32" s="25"/>
      <c r="BC32" s="25"/>
      <c r="BD32" s="25"/>
    </row>
    <row r="33" spans="2:56" ht="17.149999999999999" customHeight="1" x14ac:dyDescent="0.25">
      <c r="B33" s="25"/>
      <c r="C33" s="25"/>
      <c r="D33" s="25"/>
      <c r="E33" s="25"/>
      <c r="F33" s="25"/>
      <c r="G33" s="54"/>
      <c r="I33" s="25"/>
      <c r="J33" s="25"/>
      <c r="K33" s="25"/>
      <c r="L33" s="25"/>
      <c r="M33" s="25"/>
      <c r="N33" s="54"/>
      <c r="P33" s="15"/>
      <c r="R33" s="15"/>
      <c r="W33" s="25"/>
      <c r="X33" s="25"/>
      <c r="Y33" s="25"/>
      <c r="Z33" s="25"/>
      <c r="AA33" s="25"/>
      <c r="AB33" s="25"/>
      <c r="AK33" s="25"/>
      <c r="AL33" s="25"/>
      <c r="AM33" s="25"/>
      <c r="AN33" s="25"/>
      <c r="AO33" s="25"/>
      <c r="AP33" s="54"/>
      <c r="AY33" s="25"/>
      <c r="AZ33" s="25"/>
      <c r="BA33" s="25"/>
      <c r="BB33" s="25"/>
      <c r="BC33" s="25"/>
      <c r="BD33" s="25"/>
    </row>
    <row r="34" spans="2:56" ht="17.149999999999999" customHeight="1" x14ac:dyDescent="0.25">
      <c r="B34" s="25"/>
      <c r="C34" s="25"/>
      <c r="D34" s="25"/>
      <c r="E34" s="25"/>
      <c r="F34" s="25"/>
      <c r="G34" s="25"/>
      <c r="I34" s="25"/>
      <c r="J34" s="25"/>
      <c r="K34" s="25"/>
      <c r="L34" s="25"/>
      <c r="M34" s="25"/>
      <c r="N34" s="25"/>
      <c r="P34" s="15"/>
      <c r="R34" s="15"/>
      <c r="AK34" s="25"/>
      <c r="AL34" s="25"/>
      <c r="AM34" s="25"/>
      <c r="AN34" s="25"/>
      <c r="AO34" s="25"/>
      <c r="AP34" s="25"/>
    </row>
    <row r="35" spans="2:56" ht="17.149999999999999" customHeight="1" x14ac:dyDescent="0.25">
      <c r="B35" s="25"/>
      <c r="C35" s="25"/>
      <c r="D35" s="25"/>
      <c r="E35" s="25"/>
      <c r="F35" s="25"/>
      <c r="G35" s="25"/>
      <c r="H35" s="17"/>
      <c r="I35" s="25"/>
      <c r="J35" s="25"/>
      <c r="K35" s="25"/>
      <c r="L35" s="25"/>
      <c r="M35" s="25"/>
      <c r="N35" s="25"/>
      <c r="P35" s="4"/>
      <c r="Q35" s="4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K35" s="25"/>
      <c r="AL35" s="25"/>
      <c r="AM35" s="25"/>
      <c r="AN35" s="25"/>
      <c r="AO35" s="25"/>
      <c r="AP35" s="25"/>
    </row>
    <row r="36" spans="2:56" ht="17.149999999999999" customHeight="1" x14ac:dyDescent="0.25">
      <c r="B36" s="5"/>
      <c r="C36" s="18"/>
      <c r="D36" s="5"/>
      <c r="E36" s="5"/>
      <c r="F36" s="19"/>
      <c r="G36" s="19"/>
      <c r="H36" s="19"/>
      <c r="I36" s="19"/>
      <c r="J36" s="19"/>
      <c r="K36" s="19"/>
      <c r="L36" s="19"/>
      <c r="M36" s="19"/>
      <c r="N36" s="19"/>
      <c r="P36" s="5"/>
      <c r="Q36" s="18"/>
      <c r="R36" s="5"/>
      <c r="S36" s="5"/>
      <c r="T36" s="19"/>
      <c r="U36" s="19"/>
      <c r="V36" s="19"/>
      <c r="W36" s="19"/>
      <c r="X36" s="19"/>
      <c r="Y36" s="19"/>
      <c r="Z36" s="19"/>
      <c r="AA36" s="19"/>
      <c r="AB36" s="19"/>
    </row>
    <row r="37" spans="2:56" ht="17.149999999999999" customHeight="1" x14ac:dyDescent="0.25">
      <c r="B37" s="5"/>
      <c r="C37" s="18"/>
      <c r="D37" s="5"/>
      <c r="E37" s="5"/>
      <c r="F37" s="19"/>
      <c r="G37" s="19"/>
      <c r="H37" s="19"/>
      <c r="I37" s="19"/>
      <c r="J37" s="19"/>
      <c r="K37" s="19"/>
      <c r="L37" s="19"/>
      <c r="M37" s="19"/>
      <c r="N37" s="19"/>
      <c r="P37" s="5"/>
      <c r="Q37" s="18"/>
      <c r="R37" s="5"/>
      <c r="S37" s="5"/>
      <c r="T37" s="19"/>
      <c r="U37" s="19"/>
      <c r="V37" s="19"/>
      <c r="W37" s="19"/>
      <c r="X37" s="19"/>
      <c r="Y37" s="19"/>
      <c r="Z37" s="19"/>
      <c r="AA37" s="19"/>
      <c r="AB37" s="19"/>
    </row>
    <row r="38" spans="2:56" ht="17.149999999999999" customHeight="1" x14ac:dyDescent="0.25">
      <c r="B38" s="5"/>
      <c r="C38" s="18"/>
      <c r="D38" s="5"/>
      <c r="E38" s="5"/>
      <c r="F38" s="19"/>
      <c r="G38" s="19"/>
      <c r="H38" s="19"/>
      <c r="I38" s="19"/>
      <c r="J38" s="19"/>
      <c r="K38" s="19"/>
      <c r="L38" s="19"/>
      <c r="M38" s="19"/>
      <c r="N38" s="19"/>
      <c r="P38" s="5"/>
      <c r="Q38" s="18"/>
      <c r="R38" s="5"/>
      <c r="S38" s="5"/>
      <c r="T38" s="19"/>
      <c r="U38" s="19"/>
      <c r="V38" s="19"/>
      <c r="W38" s="19"/>
      <c r="X38" s="19"/>
      <c r="Y38" s="19"/>
      <c r="Z38" s="19"/>
      <c r="AA38" s="19"/>
      <c r="AB38" s="19"/>
    </row>
    <row r="39" spans="2:56" ht="17.149999999999999" customHeight="1" x14ac:dyDescent="0.25">
      <c r="B39" s="5"/>
      <c r="C39" s="18"/>
      <c r="D39" s="5"/>
      <c r="E39" s="5"/>
      <c r="F39" s="19"/>
      <c r="G39" s="19"/>
      <c r="H39" s="19"/>
      <c r="I39" s="19"/>
      <c r="J39" s="19"/>
      <c r="K39" s="19"/>
      <c r="L39" s="19"/>
      <c r="M39" s="19"/>
      <c r="N39" s="19"/>
      <c r="P39" s="5"/>
      <c r="Q39" s="18"/>
      <c r="R39" s="5"/>
      <c r="S39" s="5"/>
      <c r="T39" s="19"/>
      <c r="U39" s="19"/>
      <c r="V39" s="19"/>
      <c r="W39" s="19"/>
      <c r="X39" s="19"/>
      <c r="Y39" s="19"/>
      <c r="Z39" s="19"/>
      <c r="AA39" s="19"/>
      <c r="AB39" s="19"/>
    </row>
    <row r="40" spans="2:56" ht="17.149999999999999" customHeight="1" x14ac:dyDescent="0.25">
      <c r="B40" s="5"/>
      <c r="C40" s="18"/>
      <c r="D40" s="5"/>
      <c r="E40" s="5"/>
      <c r="F40" s="19"/>
      <c r="G40" s="19"/>
      <c r="H40" s="19"/>
      <c r="I40" s="19"/>
      <c r="J40" s="19"/>
      <c r="K40" s="19"/>
      <c r="L40" s="19"/>
      <c r="M40" s="19"/>
      <c r="N40" s="19"/>
      <c r="P40" s="5"/>
      <c r="Q40" s="18"/>
      <c r="R40" s="5"/>
      <c r="S40" s="5"/>
      <c r="T40" s="19"/>
      <c r="U40" s="19"/>
      <c r="V40" s="19"/>
      <c r="W40" s="19"/>
      <c r="X40" s="19"/>
      <c r="Y40" s="19"/>
      <c r="Z40" s="19"/>
      <c r="AA40" s="19"/>
      <c r="AB40" s="19"/>
    </row>
    <row r="41" spans="2:56" ht="17.149999999999999" customHeight="1" x14ac:dyDescent="0.25">
      <c r="B41" s="5"/>
      <c r="C41" s="18"/>
      <c r="D41" s="5"/>
      <c r="E41" s="5"/>
      <c r="F41" s="19"/>
      <c r="G41" s="19"/>
      <c r="H41" s="19"/>
      <c r="I41" s="19"/>
      <c r="J41" s="19"/>
      <c r="K41" s="19"/>
      <c r="L41" s="19"/>
      <c r="M41" s="19"/>
      <c r="N41" s="19"/>
      <c r="P41" s="5"/>
      <c r="Q41" s="18"/>
      <c r="R41" s="5"/>
      <c r="S41" s="5"/>
      <c r="T41" s="19"/>
      <c r="U41" s="19"/>
      <c r="V41" s="19"/>
      <c r="W41" s="19"/>
      <c r="X41" s="19"/>
      <c r="Y41" s="19"/>
      <c r="Z41" s="19"/>
      <c r="AA41" s="19"/>
      <c r="AB41" s="19"/>
    </row>
    <row r="42" spans="2:56" ht="17.149999999999999" customHeight="1" x14ac:dyDescent="0.25">
      <c r="B42" s="5"/>
      <c r="C42" s="18"/>
      <c r="D42" s="5"/>
      <c r="E42" s="5"/>
      <c r="F42" s="19"/>
      <c r="G42" s="19"/>
      <c r="H42" s="19"/>
      <c r="I42" s="19"/>
      <c r="J42" s="19"/>
      <c r="K42" s="19"/>
      <c r="L42" s="19"/>
      <c r="M42" s="19"/>
      <c r="N42" s="19"/>
      <c r="P42" s="5"/>
      <c r="Q42" s="18"/>
      <c r="R42" s="5"/>
      <c r="S42" s="5"/>
      <c r="T42" s="19"/>
      <c r="U42" s="19"/>
      <c r="V42" s="19"/>
      <c r="W42" s="19"/>
      <c r="X42" s="19"/>
      <c r="Y42" s="19"/>
      <c r="Z42" s="19"/>
      <c r="AA42" s="19"/>
      <c r="AB42" s="19"/>
    </row>
    <row r="43" spans="2:56" ht="17.149999999999999" customHeight="1" x14ac:dyDescent="0.25">
      <c r="B43" s="5"/>
      <c r="C43" s="18"/>
      <c r="D43" s="5"/>
      <c r="E43" s="5"/>
      <c r="F43" s="19"/>
      <c r="G43" s="19"/>
      <c r="H43" s="19"/>
      <c r="I43" s="19"/>
      <c r="J43" s="19"/>
      <c r="K43" s="19"/>
      <c r="L43" s="19"/>
      <c r="M43" s="19"/>
      <c r="N43" s="19"/>
      <c r="P43" s="5"/>
      <c r="Q43" s="18"/>
      <c r="R43" s="5"/>
      <c r="S43" s="5"/>
      <c r="T43" s="19"/>
      <c r="U43" s="19"/>
      <c r="V43" s="19"/>
      <c r="W43" s="19"/>
      <c r="X43" s="19"/>
      <c r="Y43" s="19"/>
      <c r="Z43" s="19"/>
      <c r="AA43" s="19"/>
      <c r="AB43" s="19"/>
    </row>
    <row r="44" spans="2:56" ht="17.149999999999999" customHeight="1" x14ac:dyDescent="0.25">
      <c r="B44" s="5"/>
      <c r="C44" s="18"/>
      <c r="D44" s="5"/>
      <c r="E44" s="5"/>
      <c r="F44" s="19"/>
      <c r="G44" s="19"/>
      <c r="H44" s="19"/>
      <c r="I44" s="19"/>
      <c r="J44" s="19"/>
      <c r="K44" s="19"/>
      <c r="L44" s="19"/>
      <c r="M44" s="19"/>
      <c r="N44" s="19"/>
      <c r="P44" s="5"/>
      <c r="Q44" s="18"/>
      <c r="R44" s="5"/>
      <c r="S44" s="5"/>
      <c r="T44" s="19"/>
      <c r="U44" s="19"/>
      <c r="V44" s="19"/>
      <c r="W44" s="19"/>
      <c r="X44" s="19"/>
      <c r="Y44" s="19"/>
      <c r="Z44" s="19"/>
      <c r="AA44" s="19"/>
      <c r="AB44" s="19"/>
    </row>
    <row r="45" spans="2:56" ht="17.149999999999999" customHeight="1" x14ac:dyDescent="0.25">
      <c r="B45" s="5"/>
      <c r="C45" s="18"/>
      <c r="D45" s="5"/>
      <c r="E45" s="5"/>
      <c r="F45" s="19"/>
      <c r="G45" s="19"/>
      <c r="H45" s="19"/>
      <c r="I45" s="19"/>
      <c r="J45" s="19"/>
      <c r="K45" s="19"/>
      <c r="L45" s="19"/>
      <c r="M45" s="19"/>
      <c r="N45" s="19"/>
      <c r="P45" s="5"/>
      <c r="Q45" s="18"/>
      <c r="R45" s="5"/>
      <c r="S45" s="5"/>
      <c r="T45" s="19"/>
      <c r="U45" s="19"/>
      <c r="V45" s="19"/>
      <c r="W45" s="19"/>
      <c r="X45" s="19"/>
      <c r="Y45" s="19"/>
      <c r="Z45" s="19"/>
      <c r="AA45" s="19"/>
      <c r="AB45" s="19"/>
    </row>
    <row r="46" spans="2:56" ht="17.149999999999999" customHeight="1" x14ac:dyDescent="0.25">
      <c r="B46" s="5"/>
      <c r="C46" s="18"/>
      <c r="D46" s="5"/>
      <c r="E46" s="5"/>
      <c r="F46" s="19"/>
      <c r="G46" s="19"/>
      <c r="H46" s="19"/>
      <c r="I46" s="19"/>
      <c r="J46" s="19"/>
      <c r="K46" s="19"/>
      <c r="L46" s="19"/>
      <c r="M46" s="19"/>
      <c r="N46" s="19"/>
      <c r="P46" s="5"/>
      <c r="Q46" s="18"/>
      <c r="R46" s="5"/>
      <c r="S46" s="5"/>
      <c r="T46" s="19"/>
      <c r="U46" s="19"/>
      <c r="V46" s="19"/>
      <c r="W46" s="19"/>
      <c r="X46" s="19"/>
      <c r="Y46" s="19"/>
      <c r="Z46" s="19"/>
      <c r="AA46" s="19"/>
      <c r="AB46" s="19"/>
    </row>
    <row r="47" spans="2:56" ht="17.149999999999999" customHeight="1" x14ac:dyDescent="0.25">
      <c r="B47" s="5"/>
      <c r="C47" s="18"/>
      <c r="D47" s="5"/>
      <c r="E47" s="5"/>
      <c r="F47" s="19"/>
      <c r="G47" s="19"/>
      <c r="H47" s="19"/>
      <c r="I47" s="19"/>
      <c r="J47" s="19"/>
      <c r="K47" s="19"/>
      <c r="L47" s="19"/>
      <c r="M47" s="19"/>
      <c r="N47" s="19"/>
      <c r="P47" s="5"/>
      <c r="Q47" s="18"/>
      <c r="R47" s="5"/>
      <c r="S47" s="5"/>
      <c r="T47" s="19"/>
      <c r="U47" s="19"/>
      <c r="V47" s="19"/>
      <c r="W47" s="19"/>
      <c r="X47" s="19"/>
      <c r="Y47" s="19"/>
      <c r="Z47" s="19"/>
      <c r="AA47" s="19"/>
      <c r="AB47" s="19"/>
    </row>
    <row r="48" spans="2:56" ht="17.149999999999999" customHeight="1" x14ac:dyDescent="0.25">
      <c r="B48" s="5"/>
      <c r="C48" s="18"/>
      <c r="D48" s="5"/>
      <c r="E48" s="5"/>
      <c r="F48" s="19"/>
      <c r="G48" s="19"/>
      <c r="H48" s="19"/>
      <c r="I48" s="19"/>
      <c r="J48" s="19"/>
      <c r="K48" s="19"/>
      <c r="L48" s="19"/>
      <c r="M48" s="19"/>
      <c r="N48" s="19"/>
      <c r="P48" s="5"/>
      <c r="Q48" s="18"/>
      <c r="R48" s="5"/>
      <c r="S48" s="5"/>
      <c r="T48" s="19"/>
      <c r="U48" s="19"/>
      <c r="V48" s="19"/>
      <c r="W48" s="19"/>
      <c r="X48" s="19"/>
      <c r="Y48" s="19"/>
      <c r="Z48" s="19"/>
      <c r="AA48" s="19"/>
      <c r="AB48" s="19"/>
    </row>
    <row r="49" spans="2:28" ht="17.149999999999999" customHeight="1" x14ac:dyDescent="0.25">
      <c r="B49" s="5"/>
      <c r="C49" s="18"/>
      <c r="D49" s="5"/>
      <c r="E49" s="5"/>
      <c r="F49" s="19"/>
      <c r="G49" s="19"/>
      <c r="H49" s="19"/>
      <c r="I49" s="19"/>
      <c r="J49" s="19"/>
      <c r="K49" s="19"/>
      <c r="L49" s="19"/>
      <c r="M49" s="19"/>
      <c r="N49" s="19"/>
      <c r="P49" s="5"/>
      <c r="Q49" s="18"/>
      <c r="R49" s="5"/>
      <c r="S49" s="5"/>
      <c r="T49" s="19"/>
      <c r="U49" s="19"/>
      <c r="V49" s="19"/>
      <c r="W49" s="19"/>
      <c r="X49" s="19"/>
      <c r="Y49" s="19"/>
      <c r="Z49" s="19"/>
      <c r="AA49" s="19"/>
      <c r="AB49" s="19"/>
    </row>
    <row r="50" spans="2:28" ht="17.149999999999999" customHeight="1" x14ac:dyDescent="0.25">
      <c r="B50" s="5"/>
      <c r="C50" s="18"/>
      <c r="D50" s="5"/>
      <c r="E50" s="5"/>
      <c r="F50" s="19"/>
      <c r="G50" s="19"/>
      <c r="H50" s="19"/>
      <c r="I50" s="19"/>
      <c r="J50" s="19"/>
      <c r="K50" s="19"/>
      <c r="L50" s="19"/>
      <c r="M50" s="19"/>
      <c r="N50" s="19"/>
      <c r="P50" s="5"/>
      <c r="Q50" s="18"/>
      <c r="R50" s="5"/>
      <c r="S50" s="5"/>
      <c r="T50" s="19"/>
      <c r="U50" s="19"/>
      <c r="V50" s="19"/>
      <c r="W50" s="19"/>
      <c r="X50" s="19"/>
      <c r="Y50" s="19"/>
      <c r="Z50" s="19"/>
      <c r="AA50" s="19"/>
      <c r="AB50" s="19"/>
    </row>
    <row r="51" spans="2:28" ht="17.149999999999999" customHeight="1" x14ac:dyDescent="0.25">
      <c r="B51" s="5"/>
      <c r="C51" s="18"/>
      <c r="D51" s="5"/>
      <c r="E51" s="5"/>
      <c r="F51" s="19"/>
      <c r="G51" s="19"/>
      <c r="H51" s="19"/>
      <c r="I51" s="19"/>
      <c r="J51" s="19"/>
      <c r="K51" s="19"/>
      <c r="L51" s="19"/>
      <c r="M51" s="19"/>
      <c r="N51" s="19"/>
      <c r="P51" s="5"/>
      <c r="Q51" s="18"/>
      <c r="R51" s="5"/>
      <c r="S51" s="5"/>
      <c r="T51" s="19"/>
      <c r="U51" s="19"/>
      <c r="V51" s="19"/>
      <c r="W51" s="19"/>
      <c r="X51" s="19"/>
      <c r="Y51" s="19"/>
      <c r="Z51" s="19"/>
      <c r="AA51" s="19"/>
      <c r="AB51" s="19"/>
    </row>
    <row r="52" spans="2:28" ht="17.149999999999999" customHeight="1" x14ac:dyDescent="0.25">
      <c r="B52" s="5"/>
      <c r="C52" s="18"/>
      <c r="D52" s="5"/>
      <c r="E52" s="5"/>
      <c r="F52" s="19"/>
      <c r="G52" s="19"/>
      <c r="H52" s="19"/>
      <c r="I52" s="19"/>
      <c r="J52" s="19"/>
      <c r="K52" s="19"/>
      <c r="L52" s="19"/>
      <c r="M52" s="19"/>
      <c r="N52" s="19"/>
      <c r="P52" s="20"/>
      <c r="Q52" s="21"/>
      <c r="R52" s="4"/>
      <c r="S52" s="4"/>
      <c r="T52" s="22"/>
      <c r="U52" s="22"/>
      <c r="V52" s="22"/>
      <c r="W52" s="22"/>
      <c r="X52" s="22"/>
      <c r="Y52" s="22"/>
      <c r="Z52" s="22"/>
      <c r="AA52" s="22"/>
      <c r="AB52" s="22"/>
    </row>
    <row r="53" spans="2:28" ht="17.149999999999999" customHeight="1" x14ac:dyDescent="0.25">
      <c r="B53" s="5"/>
      <c r="C53" s="18"/>
      <c r="D53" s="5"/>
      <c r="E53" s="5"/>
      <c r="F53" s="19"/>
      <c r="G53" s="19"/>
      <c r="H53" s="19"/>
      <c r="I53" s="19"/>
      <c r="J53" s="19"/>
      <c r="K53" s="19"/>
      <c r="L53" s="19"/>
      <c r="M53" s="19"/>
      <c r="N53" s="19"/>
    </row>
    <row r="54" spans="2:28" ht="17.149999999999999" customHeight="1" x14ac:dyDescent="0.25">
      <c r="B54" s="5"/>
      <c r="C54" s="18"/>
      <c r="D54" s="5"/>
      <c r="E54" s="5"/>
      <c r="F54" s="19"/>
      <c r="G54" s="19"/>
      <c r="H54" s="19"/>
      <c r="I54" s="19"/>
      <c r="J54" s="19"/>
      <c r="K54" s="19"/>
      <c r="L54" s="19"/>
      <c r="M54" s="19"/>
      <c r="N54" s="19"/>
    </row>
    <row r="55" spans="2:28" ht="17.149999999999999" customHeight="1" x14ac:dyDescent="0.25">
      <c r="B55" s="5"/>
      <c r="C55" s="18"/>
      <c r="D55" s="5"/>
      <c r="E55" s="5"/>
      <c r="F55" s="19"/>
      <c r="G55" s="19"/>
      <c r="H55" s="19"/>
      <c r="I55" s="19"/>
      <c r="J55" s="19"/>
      <c r="K55" s="19"/>
      <c r="L55" s="19"/>
      <c r="M55" s="19"/>
      <c r="N55" s="19"/>
    </row>
    <row r="56" spans="2:28" ht="17.149999999999999" customHeight="1" x14ac:dyDescent="0.25">
      <c r="B56" s="5"/>
      <c r="C56" s="18"/>
      <c r="D56" s="5"/>
      <c r="E56" s="5"/>
      <c r="F56" s="19"/>
      <c r="G56" s="19"/>
      <c r="H56" s="19"/>
      <c r="I56" s="19"/>
      <c r="J56" s="19"/>
      <c r="K56" s="19"/>
      <c r="L56" s="19"/>
      <c r="M56" s="19"/>
      <c r="N56" s="19"/>
    </row>
    <row r="57" spans="2:28" ht="17.149999999999999" customHeight="1" x14ac:dyDescent="0.25">
      <c r="B57" s="5"/>
      <c r="C57" s="18"/>
      <c r="D57" s="5"/>
      <c r="E57" s="5"/>
      <c r="F57" s="19"/>
      <c r="G57" s="19"/>
      <c r="H57" s="19"/>
      <c r="I57" s="19"/>
      <c r="J57" s="19"/>
      <c r="K57" s="19"/>
      <c r="L57" s="19"/>
      <c r="M57" s="19"/>
      <c r="N57" s="19"/>
    </row>
    <row r="58" spans="2:28" ht="17.149999999999999" customHeight="1" x14ac:dyDescent="0.25">
      <c r="B58" s="5"/>
      <c r="C58" s="18"/>
      <c r="D58" s="5"/>
      <c r="E58" s="5"/>
      <c r="F58" s="19"/>
      <c r="G58" s="19"/>
      <c r="H58" s="19"/>
      <c r="I58" s="19"/>
      <c r="J58" s="19"/>
      <c r="K58" s="19"/>
      <c r="L58" s="19"/>
      <c r="M58" s="19"/>
      <c r="N58" s="19"/>
    </row>
    <row r="59" spans="2:28" ht="17.149999999999999" customHeight="1" x14ac:dyDescent="0.25">
      <c r="B59" s="5"/>
      <c r="C59" s="18"/>
      <c r="D59" s="5"/>
      <c r="E59" s="5"/>
      <c r="F59" s="19"/>
      <c r="G59" s="19"/>
      <c r="H59" s="19"/>
      <c r="I59" s="19"/>
      <c r="J59" s="19"/>
      <c r="K59" s="19"/>
      <c r="L59" s="19"/>
      <c r="M59" s="19"/>
      <c r="N59" s="19"/>
    </row>
    <row r="60" spans="2:28" ht="17.149999999999999" customHeight="1" x14ac:dyDescent="0.25">
      <c r="B60" s="5"/>
      <c r="C60" s="18"/>
      <c r="D60" s="5"/>
      <c r="E60" s="5"/>
      <c r="F60" s="19"/>
      <c r="G60" s="19"/>
      <c r="H60" s="19"/>
      <c r="I60" s="19"/>
      <c r="J60" s="19"/>
      <c r="K60" s="19"/>
      <c r="L60" s="19"/>
      <c r="M60" s="19"/>
      <c r="N60" s="19"/>
    </row>
    <row r="61" spans="2:28" ht="17.149999999999999" customHeight="1" x14ac:dyDescent="0.25">
      <c r="B61" s="5"/>
      <c r="C61" s="18"/>
      <c r="D61" s="5"/>
      <c r="E61" s="5"/>
      <c r="F61" s="19"/>
      <c r="G61" s="19"/>
      <c r="H61" s="19"/>
      <c r="I61" s="19"/>
      <c r="J61" s="19"/>
      <c r="K61" s="19"/>
      <c r="L61" s="19"/>
      <c r="M61" s="19"/>
      <c r="N61" s="19"/>
    </row>
    <row r="62" spans="2:28" ht="17.149999999999999" customHeight="1" x14ac:dyDescent="0.25">
      <c r="B62" s="5"/>
      <c r="C62" s="18"/>
      <c r="D62" s="5"/>
      <c r="E62" s="5"/>
      <c r="F62" s="19"/>
      <c r="G62" s="19"/>
      <c r="H62" s="19"/>
      <c r="I62" s="19"/>
      <c r="J62" s="19"/>
      <c r="K62" s="19"/>
      <c r="L62" s="19"/>
      <c r="M62" s="19"/>
      <c r="N62" s="19"/>
    </row>
    <row r="63" spans="2:28" ht="17.149999999999999" customHeight="1" x14ac:dyDescent="0.25">
      <c r="B63" s="5"/>
      <c r="C63" s="18"/>
      <c r="D63" s="5"/>
      <c r="E63" s="5"/>
      <c r="F63" s="19"/>
      <c r="G63" s="19"/>
      <c r="H63" s="19"/>
      <c r="I63" s="19"/>
      <c r="J63" s="19"/>
      <c r="K63" s="19"/>
      <c r="L63" s="19"/>
      <c r="M63" s="19"/>
      <c r="N63" s="19"/>
    </row>
    <row r="64" spans="2:28" ht="17.149999999999999" customHeight="1" x14ac:dyDescent="0.25">
      <c r="B64" s="20"/>
      <c r="C64" s="21"/>
      <c r="D64" s="4"/>
      <c r="E64" s="4"/>
      <c r="F64" s="22"/>
      <c r="G64" s="22"/>
      <c r="H64" s="22"/>
      <c r="I64" s="22"/>
      <c r="J64" s="22"/>
      <c r="K64" s="22"/>
      <c r="L64" s="22"/>
      <c r="M64" s="22"/>
      <c r="N64" s="22"/>
    </row>
  </sheetData>
  <mergeCells count="144">
    <mergeCell ref="BH12:BK12"/>
    <mergeCell ref="W9:X9"/>
    <mergeCell ref="P4:U4"/>
    <mergeCell ref="BA10:BD10"/>
    <mergeCell ref="AM9:AP9"/>
    <mergeCell ref="AK6:AL6"/>
    <mergeCell ref="AK8:AL8"/>
    <mergeCell ref="K12:N12"/>
    <mergeCell ref="AY6:AZ6"/>
    <mergeCell ref="AM11:AP11"/>
    <mergeCell ref="BF10:BG10"/>
    <mergeCell ref="AG6:AI6"/>
    <mergeCell ref="R11:U11"/>
    <mergeCell ref="BH8:BK8"/>
    <mergeCell ref="BH10:BK10"/>
    <mergeCell ref="AF8:AI8"/>
    <mergeCell ref="AM12:AP12"/>
    <mergeCell ref="BF6:BG6"/>
    <mergeCell ref="AT11:AW11"/>
    <mergeCell ref="AY8:AZ8"/>
    <mergeCell ref="W7:AB7"/>
    <mergeCell ref="R9:U9"/>
    <mergeCell ref="BF12:BG12"/>
    <mergeCell ref="BB6:BD6"/>
    <mergeCell ref="P3:U3"/>
    <mergeCell ref="B8:C8"/>
    <mergeCell ref="L6:N6"/>
    <mergeCell ref="I12:J12"/>
    <mergeCell ref="AT12:AW12"/>
    <mergeCell ref="AK11:AL11"/>
    <mergeCell ref="BA8:BD8"/>
    <mergeCell ref="P5:U5"/>
    <mergeCell ref="B10:C10"/>
    <mergeCell ref="B4:G4"/>
    <mergeCell ref="AK3:AP3"/>
    <mergeCell ref="B9:C9"/>
    <mergeCell ref="Y11:AB11"/>
    <mergeCell ref="AF10:AI10"/>
    <mergeCell ref="B7:G7"/>
    <mergeCell ref="P12:Q12"/>
    <mergeCell ref="W5:AB5"/>
    <mergeCell ref="K8:N8"/>
    <mergeCell ref="AT10:AW10"/>
    <mergeCell ref="AD12:AE12"/>
    <mergeCell ref="AD9:AE9"/>
    <mergeCell ref="D12:G12"/>
    <mergeCell ref="W10:X10"/>
    <mergeCell ref="AT9:AW9"/>
    <mergeCell ref="B3:G3"/>
    <mergeCell ref="B6:C6"/>
    <mergeCell ref="W8:X8"/>
    <mergeCell ref="BF7:BK7"/>
    <mergeCell ref="AR11:AS11"/>
    <mergeCell ref="W11:X11"/>
    <mergeCell ref="I10:J10"/>
    <mergeCell ref="AF9:AI9"/>
    <mergeCell ref="BF11:BG11"/>
    <mergeCell ref="AK4:AP4"/>
    <mergeCell ref="I9:J9"/>
    <mergeCell ref="AF11:AI11"/>
    <mergeCell ref="AM10:AP10"/>
    <mergeCell ref="I7:N7"/>
    <mergeCell ref="D9:G9"/>
    <mergeCell ref="BH9:BK9"/>
    <mergeCell ref="I11:J11"/>
    <mergeCell ref="K10:N10"/>
    <mergeCell ref="BH11:BK11"/>
    <mergeCell ref="Y8:AB8"/>
    <mergeCell ref="AR8:AS8"/>
    <mergeCell ref="AD10:AE10"/>
    <mergeCell ref="AM8:AP8"/>
    <mergeCell ref="D10:G10"/>
    <mergeCell ref="E6:G6"/>
    <mergeCell ref="AK9:AL9"/>
    <mergeCell ref="P9:Q9"/>
    <mergeCell ref="P7:U7"/>
    <mergeCell ref="BA9:BD9"/>
    <mergeCell ref="BI6:BK6"/>
    <mergeCell ref="B11:C11"/>
    <mergeCell ref="R8:U8"/>
    <mergeCell ref="AY5:BD5"/>
    <mergeCell ref="P11:Q11"/>
    <mergeCell ref="BA11:BD11"/>
    <mergeCell ref="R10:U10"/>
    <mergeCell ref="AK10:AL10"/>
    <mergeCell ref="AT8:AW8"/>
    <mergeCell ref="D11:G11"/>
    <mergeCell ref="I8:J8"/>
    <mergeCell ref="AR7:AW7"/>
    <mergeCell ref="BF9:BG9"/>
    <mergeCell ref="AR10:AS10"/>
    <mergeCell ref="K9:N9"/>
    <mergeCell ref="AY9:AZ9"/>
    <mergeCell ref="AY7:BD7"/>
    <mergeCell ref="BF8:BG8"/>
    <mergeCell ref="AD7:AI7"/>
    <mergeCell ref="AN6:AP6"/>
    <mergeCell ref="R12:U12"/>
    <mergeCell ref="AD5:AI5"/>
    <mergeCell ref="AF12:AI12"/>
    <mergeCell ref="AY4:BD4"/>
    <mergeCell ref="BF3:BK3"/>
    <mergeCell ref="I6:J6"/>
    <mergeCell ref="AD8:AE8"/>
    <mergeCell ref="P10:Q10"/>
    <mergeCell ref="W3:AB3"/>
    <mergeCell ref="W6:X6"/>
    <mergeCell ref="AR4:AW4"/>
    <mergeCell ref="AR3:AW3"/>
    <mergeCell ref="AY3:BD3"/>
    <mergeCell ref="AK12:AL12"/>
    <mergeCell ref="Y9:AB9"/>
    <mergeCell ref="W12:X12"/>
    <mergeCell ref="K11:N11"/>
    <mergeCell ref="AY11:AZ11"/>
    <mergeCell ref="AD4:AI4"/>
    <mergeCell ref="AD11:AE11"/>
    <mergeCell ref="P8:Q8"/>
    <mergeCell ref="AD6:AE6"/>
    <mergeCell ref="AR5:AW5"/>
    <mergeCell ref="AY12:AZ12"/>
    <mergeCell ref="AU6:AW6"/>
    <mergeCell ref="D8:G8"/>
    <mergeCell ref="Y12:AB12"/>
    <mergeCell ref="AK5:AP5"/>
    <mergeCell ref="I3:N3"/>
    <mergeCell ref="BF4:BK4"/>
    <mergeCell ref="AR9:AS9"/>
    <mergeCell ref="B12:C12"/>
    <mergeCell ref="S6:U6"/>
    <mergeCell ref="I5:N5"/>
    <mergeCell ref="P6:Q6"/>
    <mergeCell ref="BA12:BD12"/>
    <mergeCell ref="I4:N4"/>
    <mergeCell ref="B5:G5"/>
    <mergeCell ref="AR6:AS6"/>
    <mergeCell ref="BF5:BK5"/>
    <mergeCell ref="AY10:AZ10"/>
    <mergeCell ref="W4:AB4"/>
    <mergeCell ref="Z6:AB6"/>
    <mergeCell ref="AD3:AI3"/>
    <mergeCell ref="AR12:AS12"/>
    <mergeCell ref="AK7:AP7"/>
    <mergeCell ref="Y10:AB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Purchase August 2026</vt:lpstr>
      <vt:lpstr>Sales August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Sk</cp:lastModifiedBy>
  <cp:revision>0</cp:revision>
  <dcterms:created xsi:type="dcterms:W3CDTF">2026-07-16T09:38:20Z</dcterms:created>
  <dcterms:modified xsi:type="dcterms:W3CDTF">2026-09-03T07:16:11Z</dcterms:modified>
  <dc:language>en-US</dc:language>
</cp:coreProperties>
</file>